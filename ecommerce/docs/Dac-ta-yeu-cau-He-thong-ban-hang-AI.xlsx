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showInkAnnotation="0" autoCompressPictures="0"/>
  <xr:revisionPtr revIDLastSave="0" documentId="8_{AAB647E4-BA27-49B9-8386-F19CA0219921}" xr6:coauthVersionLast="47" xr6:coauthVersionMax="47" xr10:uidLastSave="{00000000-0000-0000-0000-000000000000}"/>
  <bookViews>
    <workbookView xWindow="0" yWindow="0" windowWidth="0" windowHeight="0" firstSheet="4" activeTab="4" xr2:uid="{00000000-000D-0000-FFFF-FFFF00000000}"/>
  </bookViews>
  <sheets>
    <sheet name="Tổng quan" sheetId="1" r:id="rId1"/>
    <sheet name="Công nghệ" sheetId="2" r:id="rId2"/>
    <sheet name="Admin" sheetId="3" r:id="rId3"/>
    <sheet name="Seller" sheetId="4" r:id="rId4"/>
    <sheet name="Customer" sheetId="5" r:id="rId5"/>
    <sheet name="AI" sheetId="6" r:id="rId6"/>
    <sheet name="Bonus" sheetId="7" r:id="rId7"/>
    <sheet name="Phi chức năng" sheetId="8" r:id="rId8"/>
    <sheet name="Đánh giá"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9" l="1"/>
  <c r="F20" i="1"/>
  <c r="E20" i="1"/>
  <c r="D20" i="1"/>
  <c r="C20" i="1"/>
  <c r="B20" i="1"/>
  <c r="G20" i="1" s="1"/>
  <c r="F19" i="1"/>
  <c r="E19" i="1"/>
  <c r="D19" i="1"/>
  <c r="C19" i="1"/>
  <c r="B19" i="1"/>
  <c r="G19" i="1" s="1"/>
  <c r="F18" i="1"/>
  <c r="E18" i="1"/>
  <c r="D18" i="1"/>
  <c r="C18" i="1"/>
  <c r="B18" i="1"/>
  <c r="G18" i="1" s="1"/>
  <c r="F17" i="1"/>
  <c r="E17" i="1"/>
  <c r="D17" i="1"/>
  <c r="C17" i="1"/>
  <c r="B17" i="1"/>
  <c r="G17" i="1" s="1"/>
  <c r="F16" i="1"/>
  <c r="E16" i="1"/>
  <c r="D16" i="1"/>
  <c r="C16" i="1"/>
  <c r="B16" i="1"/>
  <c r="G16" i="1" s="1"/>
  <c r="F15" i="1"/>
  <c r="F21" i="1" s="1"/>
  <c r="E15" i="1"/>
  <c r="E21" i="1" s="1"/>
  <c r="D15" i="1"/>
  <c r="D21" i="1" s="1"/>
  <c r="C15" i="1"/>
  <c r="C21" i="1" s="1"/>
  <c r="B15" i="1"/>
  <c r="B21" i="1" l="1"/>
  <c r="G21" i="1" s="1"/>
  <c r="G15" i="1"/>
</calcChain>
</file>

<file path=xl/sharedStrings.xml><?xml version="1.0" encoding="utf-8"?>
<sst xmlns="http://schemas.openxmlformats.org/spreadsheetml/2006/main" count="1155" uniqueCount="675">
  <si>
    <t>ĐẶC TẢ YÊU CẦU — HỆ THỐNG BÁN HÀNG TÍCH HỢP AI</t>
  </si>
  <si>
    <t>Đồ án thực tập Fullstack: Vue.js 3 + TypeScript / Django (Python 3.12) / PostgreSQL / Docker — tích hợp AI</t>
  </si>
  <si>
    <t>1. MỤC TIÊU</t>
  </si>
  <si>
    <t>Xây dựng sàn thương mại điện tử đa gian hàng (multi-vendor) gồm 3 vai trò: Admin hệ thống, Nhà bán hàng (Seller) và Khách hàng (Customer). Hệ thống hỗ trợ đầy đủ nghiệp vụ bán hàng (sản phẩm, kho, giỏ hàng, đặt hàng, khuyến mãi, đánh giá, chat) và tích hợp AI để nâng cao trải nghiệm tìm kiếm, mua sắm và quản trị.</t>
  </si>
  <si>
    <t>2. VAI TRÒ NGƯỜI DÙNG</t>
  </si>
  <si>
    <t>Vai trò</t>
  </si>
  <si>
    <t>Mô tả</t>
  </si>
  <si>
    <t>Sheet chi tiết</t>
  </si>
  <si>
    <t>Admin hệ thống</t>
  </si>
  <si>
    <t>Quản trị toàn sàn: người dùng, seller, sản phẩm, đơn hàng, khuyến mãi, báo cáo.</t>
  </si>
  <si>
    <t>Admin</t>
  </si>
  <si>
    <t>Nhà bán hàng (Seller)</t>
  </si>
  <si>
    <t>Quản lý gian hàng: sản phẩm, kho, đơn hàng, voucher shop, chat với khách.</t>
  </si>
  <si>
    <t>Seller</t>
  </si>
  <si>
    <t>Khách hàng (Customer)</t>
  </si>
  <si>
    <t>Mua sắm: tìm kiếm, giỏ hàng, đặt hàng, thanh toán, đánh giá, chat với shop.</t>
  </si>
  <si>
    <t>Customer</t>
  </si>
  <si>
    <t>3. THỐNG KÊ YÊU CẦU &amp; TIẾN ĐỘ</t>
  </si>
  <si>
    <t>Nhóm yêu cầu</t>
  </si>
  <si>
    <t>Tổng số</t>
  </si>
  <si>
    <t>Bắt buộc</t>
  </si>
  <si>
    <t>Nên có</t>
  </si>
  <si>
    <t>Tùy chọn</t>
  </si>
  <si>
    <t>Hoàn thành</t>
  </si>
  <si>
    <t>% hoàn thành</t>
  </si>
  <si>
    <t>Tính năng AI</t>
  </si>
  <si>
    <t>Bonus</t>
  </si>
  <si>
    <t>Phi chức năng</t>
  </si>
  <si>
    <t>TỔNG</t>
  </si>
  <si>
    <t>4. SẢN PHẨM BÀN GIAO</t>
  </si>
  <si>
    <t>1. Source code Frontend (Vue 3 + TypeScript) và Backend (Django) trên Git repository, có README hướng dẫn chạy.</t>
  </si>
  <si>
    <t>2. docker-compose.yml chạy được toàn bộ hệ thống bằng 1 lệnh (FE, BE, Celery, Redis, Nginx; PostgreSQL external qua env).</t>
  </si>
  <si>
    <t>3. Tài liệu API (Swagger/OpenAPI) và sơ đồ ERD cơ sở dữ liệu.</t>
  </si>
  <si>
    <t>4. File .env.example liệt kê đầy đủ biến môi trường (DB, JWT secret, AI API key, payment sandbox...).</t>
  </si>
  <si>
    <t>5. Seed data mẫu (danh mục, sản phẩm, tài khoản 3 vai trò) để demo được ngay.</t>
  </si>
  <si>
    <t>6. Bản demo + slide trình bày: kiến trúc hệ thống, luồng nghiệp vụ chính, các tính năng AI đã làm.</t>
  </si>
  <si>
    <t>5. HƯỚNG DẪN DÙNG FILE NÀY</t>
  </si>
  <si>
    <t>• Mỗi sheet là một nhóm yêu cầu; cột 'Độ ưu tiên': Bắt buộc = phải hoàn thành, Nên có = làm khi đã xong phần bắt buộc, Tùy chọn = điểm cộng.</t>
  </si>
  <si>
    <t>• Cột 'Trạng thái' (Chưa làm / Đang làm / Hoàn thành) do người thực hiện cập nhật — bảng mục 3 ở trên tự tính % tiến độ.</t>
  </si>
  <si>
    <t>• Cột 'Gợi ý kỹ thuật' chỉ là định hướng, người thực hiện được phép chọn giải pháp khác nếu giải thích được lý do.</t>
  </si>
  <si>
    <t>• Sheet 'Đánh giá' là thang điểm tham chiếu khi chấm đồ án.</t>
  </si>
  <si>
    <t>YÊU CẦU CÔNG NGHỆ &amp; MÔI TRƯỜNG</t>
  </si>
  <si>
    <t>Nhóm</t>
  </si>
  <si>
    <t>Công nghệ / Hạng mục</t>
  </si>
  <si>
    <t>Phiên bản / Yêu cầu</t>
  </si>
  <si>
    <t>Ghi chú</t>
  </si>
  <si>
    <t>Frontend</t>
  </si>
  <si>
    <t>Node.js</t>
  </si>
  <si>
    <t>20 LTS</t>
  </si>
  <si>
    <t>Môi trường build &amp; dev server.</t>
  </si>
  <si>
    <t>Vue.js</t>
  </si>
  <si>
    <t>3.x — Composition API + &lt;script setup&gt;</t>
  </si>
  <si>
    <t>Framework SPA chính.</t>
  </si>
  <si>
    <t>TypeScript</t>
  </si>
  <si>
    <t>5.x, strict mode</t>
  </si>
  <si>
    <t>Bắt buộc toàn bộ code FE có type.</t>
  </si>
  <si>
    <t>Vite</t>
  </si>
  <si>
    <t>5.x</t>
  </si>
  <si>
    <t>Build tool &amp; dev server.</t>
  </si>
  <si>
    <t>Pinia</t>
  </si>
  <si>
    <t>2.x</t>
  </si>
  <si>
    <t>State management (auth, cart, notification...).</t>
  </si>
  <si>
    <t>Vue Router</t>
  </si>
  <si>
    <t>4.x</t>
  </si>
  <si>
    <t>Routing + route guard theo vai trò.</t>
  </si>
  <si>
    <t>CSS Framework</t>
  </si>
  <si>
    <t>Tailwind CSS (khuyến nghị) hoặc Bootstrap 5</t>
  </si>
  <si>
    <t>Chọn 1, dùng nhất quán toàn dự án.</t>
  </si>
  <si>
    <t>Icon</t>
  </si>
  <si>
    <t>Heroicons hoặc FontAwesome</t>
  </si>
  <si>
    <t>Chọn 1 bộ icon thống nhất.</t>
  </si>
  <si>
    <t>HTTP Client</t>
  </si>
  <si>
    <t>Axios</t>
  </si>
  <si>
    <t>Instance chung + interceptor refresh token.</t>
  </si>
  <si>
    <t>Biểu đồ</t>
  </si>
  <si>
    <t>Chart.js / ApexCharts</t>
  </si>
  <si>
    <t>Dashboard Admin &amp; Seller.</t>
  </si>
  <si>
    <t>Backend</t>
  </si>
  <si>
    <t>Python</t>
  </si>
  <si>
    <t>3.12</t>
  </si>
  <si>
    <t>Phiên bản cố định trong Dockerfile.</t>
  </si>
  <si>
    <t>Django</t>
  </si>
  <si>
    <t>Framework chính.</t>
  </si>
  <si>
    <t>Django REST Framework</t>
  </si>
  <si>
    <t>3.15+</t>
  </si>
  <si>
    <t>Xây dựng REST API.</t>
  </si>
  <si>
    <t>Xác thực</t>
  </si>
  <si>
    <t>djangorestframework-simplejwt</t>
  </si>
  <si>
    <t>JWT access + refresh, blacklist.</t>
  </si>
  <si>
    <t>Django Channels</t>
  </si>
  <si>
    <t>WebSocket: chat, thông báo realtime.</t>
  </si>
  <si>
    <t>Celery + Celery Beat</t>
  </si>
  <si>
    <t>Background job &amp; job định kỳ.</t>
  </si>
  <si>
    <t>API Docs</t>
  </si>
  <si>
    <t>drf-spectacular</t>
  </si>
  <si>
    <t>Swagger / OpenAPI tự sinh.</t>
  </si>
  <si>
    <t>Database</t>
  </si>
  <si>
    <t>PostgreSQL</t>
  </si>
  <si>
    <t>External (ngoài docker-compose), cấu hình qua env</t>
  </si>
  <si>
    <t>DB chính; bật extension pg_trgm.</t>
  </si>
  <si>
    <t>pgvector</t>
  </si>
  <si>
    <t>Extension trên PostgreSQL</t>
  </si>
  <si>
    <t>Lưu embeddings cho semantic search / recommendation.</t>
  </si>
  <si>
    <t>Redis</t>
  </si>
  <si>
    <t>7.x (trong docker-compose)</t>
  </si>
  <si>
    <t>Cache, Celery broker, Channels layer.</t>
  </si>
  <si>
    <t>AI</t>
  </si>
  <si>
    <t>LLM Provider</t>
  </si>
  <si>
    <t>OpenAI / Anthropic Claude / Google Gemini (chọn 1+)</t>
  </si>
  <si>
    <t>Key qua biến môi trường; qua AI service layer chung (AI-15).</t>
  </si>
  <si>
    <t>Embedding model</t>
  </si>
  <si>
    <t>Model đa ngôn ngữ hỗ trợ tiếng Việt</t>
  </si>
  <si>
    <t>Dùng cho smart search &amp; recommendation.</t>
  </si>
  <si>
    <t>DevOps</t>
  </si>
  <si>
    <t>Docker + docker-compose</t>
  </si>
  <si>
    <t>Compose chạy toàn bộ stack 1 lệnh</t>
  </si>
  <si>
    <t>Dockerfile cho FE và BE.</t>
  </si>
  <si>
    <t>Nginx</t>
  </si>
  <si>
    <t>Reverse proxy + serve static FE</t>
  </si>
  <si>
    <t>Proxy /api, /ws; gzip; cache asset.</t>
  </si>
  <si>
    <t>CI/CD</t>
  </si>
  <si>
    <t>GitHub Actions (khuyến nghị)</t>
  </si>
  <si>
    <t>Lint + test + build image.</t>
  </si>
  <si>
    <t>Khác</t>
  </si>
  <si>
    <t>Git</t>
  </si>
  <si>
    <t>Git flow đơn giản (main / develop / feature)</t>
  </si>
  <si>
    <t>Commit message rõ ràng; PR tự review.</t>
  </si>
  <si>
    <t>YÊU CẦU CHỨC NĂNG — ADMIN HỆ THỐNG</t>
  </si>
  <si>
    <t>Mã YC</t>
  </si>
  <si>
    <t>Module</t>
  </si>
  <si>
    <t>Chức năng</t>
  </si>
  <si>
    <t>Mô tả chi tiết</t>
  </si>
  <si>
    <t>Độ ưu tiên</t>
  </si>
  <si>
    <t>Độ khó</t>
  </si>
  <si>
    <t>Gợi ý kỹ thuật</t>
  </si>
  <si>
    <t>Trạng thái</t>
  </si>
  <si>
    <t>ADM-01</t>
  </si>
  <si>
    <t>Dashboard</t>
  </si>
  <si>
    <t>Thẻ thống kê tổng quan</t>
  </si>
  <si>
    <t>Hiển thị các thẻ số liệu: tổng doanh thu toàn sàn, tổng số đơn hàng, tổng người dùng, tổng nhà bán hàng đang hoạt động. Số liệu cập nhật theo bộ lọc thời gian (hôm nay / 7 ngày / 30 ngày / tùy chọn).</t>
  </si>
  <si>
    <t>Trung bình</t>
  </si>
  <si>
    <t>Django ORM aggregate (Sum, Count); API riêng cho dashboard; cache Redis 5 phút để giảm tải.</t>
  </si>
  <si>
    <t>Chưa làm</t>
  </si>
  <si>
    <t>ADM-02</t>
  </si>
  <si>
    <t>Biểu đồ doanh thu</t>
  </si>
  <si>
    <t>Biểu đồ đường/cột doanh thu theo ngày/tuần/tháng, cho phép chọn khoảng thời gian. So sánh với kỳ trước (tăng/giảm %).</t>
  </si>
  <si>
    <t>Chart.js hoặc ApexCharts trên Vue; API trả về series đã group theo TruncDate/TruncMonth.</t>
  </si>
  <si>
    <t>ADM-03</t>
  </si>
  <si>
    <t>Top sản phẩm bán chạy</t>
  </si>
  <si>
    <t>Danh sách 10 sản phẩm có số lượng bán cao nhất kèm doanh thu, hình ảnh, seller sở hữu. Lọc theo khoảng thời gian.</t>
  </si>
  <si>
    <t>Dễ</t>
  </si>
  <si>
    <t>Annotate Sum(quantity) trên OrderItem, order_by giảm dần, limit 10.</t>
  </si>
  <si>
    <t>ADM-04</t>
  </si>
  <si>
    <t>Quản lý người dùng</t>
  </si>
  <si>
    <t>CRUD khách hàng</t>
  </si>
  <si>
    <t>Xem danh sách khách hàng (phân trang, tìm kiếm theo tên/email/SĐT), xem chi tiết, tạo mới, cập nhật thông tin, xóa mềm (soft delete).</t>
  </si>
  <si>
    <t>DRF ModelViewSet + SearchFilter; soft delete bằng cờ is_deleted; phân trang PageNumberPagination.</t>
  </si>
  <si>
    <t>ADM-05</t>
  </si>
  <si>
    <t>CRUD nhà bán hàng</t>
  </si>
  <si>
    <t>Quản lý danh sách seller: xem, sửa thông tin gian hàng, xóa mềm. Hiển thị trạng thái duyệt (chờ duyệt / đã duyệt / bị khóa).</t>
  </si>
  <si>
    <t>Model SellerProfile quan hệ 1-1 với User; filter theo trạng thái.</t>
  </si>
  <si>
    <t>ADM-06</t>
  </si>
  <si>
    <t>Khóa / mở khóa tài khoản</t>
  </si>
  <si>
    <t>Admin khóa tài khoản vi phạm (user không đăng nhập được, seller không bán được), mở khóa kèm lý do. Gửi email thông báo cho người bị khóa.</t>
  </si>
  <si>
    <t>Cờ is_active của Django User; middleware/permission chặn token của user bị khóa; gửi mail bằng Celery.</t>
  </si>
  <si>
    <t>ADM-07</t>
  </si>
  <si>
    <t>Reset mật khẩu người dùng</t>
  </si>
  <si>
    <t>Admin chủ động reset mật khẩu cho người dùng: sinh mật khẩu tạm hoặc gửi link đặt lại qua email, bắt buộc đổi mật khẩu ở lần đăng nhập kế tiếp.</t>
  </si>
  <si>
    <t>Django PasswordResetTokenGenerator; email template; cờ must_change_password.</t>
  </si>
  <si>
    <t>ADM-08</t>
  </si>
  <si>
    <t>Phân quyền (RBAC)</t>
  </si>
  <si>
    <t>Hệ thống 3 vai trò: Admin, Seller, Customer. Mỗi API chỉ cho phép vai trò phù hợp truy cập. Admin có thể gán/thu hồi vai trò.</t>
  </si>
  <si>
    <t>DRF custom Permission class; JWT chứa role claim; route guard trên Vue Router theo role.</t>
  </si>
  <si>
    <t>ADM-09</t>
  </si>
  <si>
    <t>Quản lý seller</t>
  </si>
  <si>
    <t>Duyệt đăng ký seller</t>
  </si>
  <si>
    <t>Danh sách hồ sơ đăng ký bán hàng chờ duyệt; Admin xem chi tiết, duyệt hoặc từ chối kèm lý do. Kết quả gửi thông báo/email cho người đăng ký.</t>
  </si>
  <si>
    <t>Trạng thái hồ sơ: pending → approved/rejected; signal gửi notification khi đổi trạng thái.</t>
  </si>
  <si>
    <t>ADM-10</t>
  </si>
  <si>
    <t>Xác minh thông tin gian hàng</t>
  </si>
  <si>
    <t>Xem giấy tờ/thông tin xác minh do seller upload (CCCD, giấy phép KD...). Đánh dấu đã xác minh, yêu cầu bổ sung nếu thiếu.</t>
  </si>
  <si>
    <t>Upload file lên storage (local/S3-compatible); trạng thái xác minh riêng từng loại giấy tờ.</t>
  </si>
  <si>
    <t>ADM-11</t>
  </si>
  <si>
    <t>Khóa gian hàng</t>
  </si>
  <si>
    <t>Khóa toàn bộ gian hàng vi phạm: sản phẩm bị ẩn khỏi trang mua sắm, seller không tạo đơn/sản phẩm mới nhưng vẫn xử lý đơn cũ.</t>
  </si>
  <si>
    <t>Cờ shop_status; queryset sản phẩm public luôn filter theo trạng thái shop.</t>
  </si>
  <si>
    <t>ADM-12</t>
  </si>
  <si>
    <t>Theo dõi doanh thu seller</t>
  </si>
  <si>
    <t>Bảng doanh thu từng seller theo tháng: tổng đơn, doanh thu, tỷ lệ hủy/hoàn. Xem chi tiết từng gian hàng.</t>
  </si>
  <si>
    <t>Aggregate theo seller_id; có thể materialize bằng bảng thống kê chạy Celery beat hằng ngày.</t>
  </si>
  <si>
    <t>ADM-13</t>
  </si>
  <si>
    <t>Quản lý sản phẩm</t>
  </si>
  <si>
    <t>Duyệt sản phẩm</t>
  </si>
  <si>
    <t>Sản phẩm seller tạo mới/sửa lớn phải qua duyệt trước khi hiển thị công khai. Admin duyệt/từ chối kèm lý do; hàng chờ duyệt có bộ lọc.</t>
  </si>
  <si>
    <t>Trạng thái sản phẩm: draft → pending → approved/rejected; chỉ approved xuất hiện ở API public.</t>
  </si>
  <si>
    <t>ADM-14</t>
  </si>
  <si>
    <t>Ẩn / xóa sản phẩm vi phạm</t>
  </si>
  <si>
    <t>Admin ẩn hoặc xóa mềm sản phẩm vi phạm ở bất kỳ gian hàng nào, kèm lý do gửi cho seller.</t>
  </si>
  <si>
    <t>Cờ is_hidden + is_deleted; log lại hành động vào Audit Log.</t>
  </si>
  <si>
    <t>ADM-15</t>
  </si>
  <si>
    <t>Quản lý danh mục (đa cấp)</t>
  </si>
  <si>
    <t>CRUD danh mục dạng cây (tối thiểu 2 cấp): tên, ảnh, slug, thứ tự hiển thị, trạng thái. Kéo thả sắp xếp là điểm cộng.</t>
  </si>
  <si>
    <t>Self-FK parent_id hoặc django-mptt; API trả cây danh mục; Vue component đệ quy render menu.</t>
  </si>
  <si>
    <t>ADM-16</t>
  </si>
  <si>
    <t>Quản lý thương hiệu</t>
  </si>
  <si>
    <t>CRUD thương hiệu: tên, logo, mô tả, trạng thái. Gán thương hiệu cho sản phẩm, dùng làm bộ lọc khi mua sắm.</t>
  </si>
  <si>
    <t>Model Brand đơn giản; upload logo; unique slug.</t>
  </si>
  <si>
    <t>ADM-17</t>
  </si>
  <si>
    <t>Quản lý đơn hàng</t>
  </si>
  <si>
    <t>Theo dõi đơn toàn hệ thống</t>
  </si>
  <si>
    <t>Danh sách mọi đơn hàng trên sàn: lọc theo trạng thái, seller, khoảng thời gian, tìm theo mã đơn/khách hàng. Xem chi tiết đơn và dòng thời gian trạng thái.</t>
  </si>
  <si>
    <t>DRF FilterSet nhiều điều kiện; index DB cho created_at, status; bảng OrderStatusHistory.</t>
  </si>
  <si>
    <t>ADM-18</t>
  </si>
  <si>
    <t>Xử lý tranh chấp / khiếu nại</t>
  </si>
  <si>
    <t>Khách hàng mở khiếu nại trên đơn; Admin xem chứng cứ 2 bên, trao đổi, ra quyết định (hoàn tiền / từ chối / hoàn một phần). Trạng thái tranh chấp theo luồng.</t>
  </si>
  <si>
    <t>Khó</t>
  </si>
  <si>
    <t>Model Dispute gắn Order; luồng trạng thái open → reviewing → resolved; đính kèm ảnh chứng cứ.</t>
  </si>
  <si>
    <t>ADM-19</t>
  </si>
  <si>
    <t>Khuyến mãi</t>
  </si>
  <si>
    <t>Quản lý Flash Sale</t>
  </si>
  <si>
    <t>Tạo chương trình Flash Sale: khung giờ, danh sách sản phẩm tham gia, giá sale, số lượng giới hạn từng sản phẩm. Đếm ngược trên trang chủ; hết giờ tự trả giá gốc.</t>
  </si>
  <si>
    <t>Model FlashSale + FlashSaleItem; kiểm tra tồn kho sale khi đặt hàng (F() expression tránh race); Celery beat bật/tắt theo giờ.</t>
  </si>
  <si>
    <t>ADM-20</t>
  </si>
  <si>
    <t>Quản lý Coupon toàn sàn</t>
  </si>
  <si>
    <t>CRUD mã giảm giá cấp sàn: loại (% / số tiền), giá trị tối đa, đơn tối thiểu, số lượt dùng, số lượt/người, thời hạn, phạm vi (toàn sàn / danh mục).</t>
  </si>
  <si>
    <t>Model Coupon + CouponUsage; validate ở bước checkout; unique constraint (coupon, user) khi giới hạn 1 lượt/người.</t>
  </si>
  <si>
    <t>ADM-21</t>
  </si>
  <si>
    <t>Quản lý Banner trang chủ</t>
  </si>
  <si>
    <t>CRUD banner: ảnh, link đích, vị trí (hero/giữa trang), thứ tự, thời gian hiển thị. Kéo thả đổi thứ tự là điểm cộng.</t>
  </si>
  <si>
    <t>Upload ảnh; trường sort_order + khoảng ngày hiệu lực; API public chỉ trả banner đang hiệu lực.</t>
  </si>
  <si>
    <t>ADM-22</t>
  </si>
  <si>
    <t>Báo cáo</t>
  </si>
  <si>
    <t>Top seller / khách hàng / danh mục</t>
  </si>
  <si>
    <t>Bảng xếp hạng: seller theo doanh thu, khách hàng theo chi tiêu, danh mục theo số lượng bán. Chọn khoảng thời gian, xuất Excel.</t>
  </si>
  <si>
    <t>Aggregate + order_by; xuất file bằng openpyxl chạy nền qua Celery nếu dữ liệu lớn.</t>
  </si>
  <si>
    <t>ADM-23</t>
  </si>
  <si>
    <t>Tỷ lệ hoàn / hủy đơn</t>
  </si>
  <si>
    <t>Thống kê tỷ lệ đơn hủy và hoàn theo thời gian, theo seller. Cảnh báo seller có tỷ lệ hủy cao bất thường.</t>
  </si>
  <si>
    <t>COUNT theo trạng thái / tổng đơn; ngưỡng cảnh báo cấu hình được.</t>
  </si>
  <si>
    <t>ADM-24</t>
  </si>
  <si>
    <t>Xuất báo cáo Excel / PDF</t>
  </si>
  <si>
    <t>Mọi bảng báo cáo cho phép xuất Excel; báo cáo tổng hợp tháng xuất PDF có biểu đồ.</t>
  </si>
  <si>
    <t>openpyxl / reportlab hoặc WeasyPrint; job nền Celery + link tải khi hoàn tất.</t>
  </si>
  <si>
    <t>ADM-25</t>
  </si>
  <si>
    <t>Hệ thống</t>
  </si>
  <si>
    <t>Audit Log</t>
  </si>
  <si>
    <t>Ghi lại các hành động nhạy cảm: khóa tài khoản, duyệt seller, sửa/xóa sản phẩm, đổi quyền... gồm ai, làm gì, lúc nào, dữ liệu trước/sau. Màn hình tra cứu có bộ lọc.</t>
  </si>
  <si>
    <t>Middleware hoặc django signals ghi vào bảng AuditLog (JSONField diff); chỉ Admin đọc.</t>
  </si>
  <si>
    <t>ADM-26</t>
  </si>
  <si>
    <t>Cấu hình hệ thống</t>
  </si>
  <si>
    <t>Trang cấu hình tham số chung: phí sàn (%), ngưỡng cảnh báo tồn kho mặc định, email liên hệ, bật/tắt tính năng (feature flag).</t>
  </si>
  <si>
    <t>Bảng SiteSetting dạng key-value; cache lại; API get/put cho Admin.</t>
  </si>
  <si>
    <t>YÊU CẦU CHỨC NĂNG — NHÀ BÁN HÀNG (SELLER)</t>
  </si>
  <si>
    <t>SEL-01</t>
  </si>
  <si>
    <t>Thống kê gian hàng</t>
  </si>
  <si>
    <t>Thẻ số liệu của shop: doanh thu (hôm nay/tháng), đơn mới chờ xử lý, đơn hoàn thành, đơn hủy, số sản phẩm sắp hết hàng. Biểu đồ doanh thu 30 ngày.</t>
  </si>
  <si>
    <t>API dashboard riêng scope theo seller đăng nhập; tái sử dụng component biểu đồ với Admin.</t>
  </si>
  <si>
    <t>SEL-02</t>
  </si>
  <si>
    <t>CRUD sản phẩm</t>
  </si>
  <si>
    <t>Tạo/sửa/xóa mềm sản phẩm: tên, danh mục, thương hiệu, giá gốc, giá bán, mô tả rich-text, trạng thái (nháp/đang bán/ngừng bán). Danh sách có tìm kiếm, lọc theo trạng thái/danh mục.</t>
  </si>
  <si>
    <t>DRF nested serializer; editor rich-text (TipTap/Quill) trên Vue; slug tự sinh, unique theo shop.</t>
  </si>
  <si>
    <t>SEL-03</t>
  </si>
  <si>
    <t>Upload nhiều ảnh &amp; video</t>
  </si>
  <si>
    <t>Mỗi sản phẩm tối đa 9 ảnh + 1 video; kéo thả sắp xếp thứ tự, chọn ảnh đại diện; validate dung lượng/định dạng; ảnh được nén và sinh thumbnail.</t>
  </si>
  <si>
    <t>Model ProductMedia; Pillow resize + thumbnail; upload multipart hoặc presigned URL; vuedraggable sắp xếp.</t>
  </si>
  <si>
    <t>SEL-04</t>
  </si>
  <si>
    <t>Biến thể sản phẩm (size, màu...)</t>
  </si>
  <si>
    <t>Định nghĩa thuộc tính (màu, size...) và tổ hợp biến thể; mỗi biến thể có SKU riêng, barcode, giá riêng, tồn kho riêng, ảnh riêng. Sinh tổ hợp tự động từ các thuộc tính.</t>
  </si>
  <si>
    <t>Model Attribute/AttributeValue/ProductVariant; unique SKU; UI ma trận biến thể trên Vue.</t>
  </si>
  <si>
    <t>SEL-05</t>
  </si>
  <si>
    <t>SKU &amp; Barcode</t>
  </si>
  <si>
    <t>Mỗi biến thể có SKU (tự sinh theo quy tắc hoặc nhập tay) và barcode. In tem barcode; quét barcode khi nhập/xuất kho là điểm cộng.</t>
  </si>
  <si>
    <t>python-barcode/qrcode sinh ảnh; validate trùng SKU trong shop.</t>
  </si>
  <si>
    <t>SEL-06</t>
  </si>
  <si>
    <t>Quản lý kho</t>
  </si>
  <si>
    <t>Nhập kho</t>
  </si>
  <si>
    <t>Tạo phiếu nhập: chọn sản phẩm/biến thể, số lượng, giá nhập, nhà cung cấp, ghi chú. Xác nhận phiếu thì cộng tồn kho.</t>
  </si>
  <si>
    <t>Model StockEntry + StockEntryItem; transaction.atomic khi cập nhật tồn; không sửa phiếu đã xác nhận.</t>
  </si>
  <si>
    <t>SEL-07</t>
  </si>
  <si>
    <t>Xuất kho &amp; điều chỉnh tồn</t>
  </si>
  <si>
    <t>Phiếu xuất (hủy hàng, trả NCC) và phiếu kiểm kê điều chỉnh tồn thực tế, bắt buộc nhập lý do. Tồn kho không được âm.</t>
  </si>
  <si>
    <t>CheckConstraint stock &gt;= 0; select_for_update tránh race khi trừ tồn.</t>
  </si>
  <si>
    <t>SEL-08</t>
  </si>
  <si>
    <t>Lịch sử nhập / xuất</t>
  </si>
  <si>
    <t>Sổ kho từng biến thể: mọi biến động tồn (nhập, xuất, bán, hoàn, điều chỉnh) kèm thời gian, người thao tác, số dư sau giao dịch.</t>
  </si>
  <si>
    <t>Bảng StockMovement append-only; mọi thay đổi tồn đều đi qua một service duy nhất.</t>
  </si>
  <si>
    <t>SEL-09</t>
  </si>
  <si>
    <t>Cảnh báo sắp hết hàng</t>
  </si>
  <si>
    <t>Seller đặt ngưỡng tồn tối thiểu từng sản phẩm; hệ thống hiển thị danh sách sắp hết và gửi thông báo khi chạm ngưỡng.</t>
  </si>
  <si>
    <t>Trường low_stock_threshold; Celery beat quét hằng ngày hoặc check ngay khi trừ tồn; notification in-app.</t>
  </si>
  <si>
    <t>SEL-10</t>
  </si>
  <si>
    <t>Luồng xử lý đơn</t>
  </si>
  <si>
    <t>Xử lý đơn theo luồng: Chờ xác nhận → Đã xác nhận → Đang đóng gói → Đang giao → Hoàn thành; hoặc Hủy (kèm lý do, hoàn tồn kho). Mỗi bước ghi lịch sử và bắn thông báo cho khách.</t>
  </si>
  <si>
    <t>State machine kiểm soát bước chuyển hợp lệ; OrderStatusHistory; hoàn tồn khi hủy trong transaction.</t>
  </si>
  <si>
    <t>SEL-11</t>
  </si>
  <si>
    <t>In phiếu giao / đóng gói</t>
  </si>
  <si>
    <t>In phiếu giao hàng (địa chỉ, mã đơn, QR/mã vạch, danh sách hàng) phục vụ đóng gói.</t>
  </si>
  <si>
    <t>Template HTML in ấn hoặc PDF (WeasyPrint); QR chứa mã đơn.</t>
  </si>
  <si>
    <t>SEL-12</t>
  </si>
  <si>
    <t>Voucher</t>
  </si>
  <si>
    <t>Voucher riêng của shop</t>
  </si>
  <si>
    <t>Seller tạo voucher áp dụng cho sản phẩm của shop mình: %/số tiền, đơn tối thiểu, số lượt, thời hạn. Khách gom voucher sàn + voucher shop trong cùng đơn.</t>
  </si>
  <si>
    <t>Tái sử dụng model Coupon với trường scope (platform/shop) + FK shop; logic cộng dồn ở checkout.</t>
  </si>
  <si>
    <t>SEL-13</t>
  </si>
  <si>
    <t>Khách hàng</t>
  </si>
  <si>
    <t>Danh sách khách của shop</t>
  </si>
  <si>
    <t>Danh sách khách từng mua tại shop: số đơn, tổng chi tiêu, lần mua gần nhất. Xem lịch sử mua chi tiết của từng khách.</t>
  </si>
  <si>
    <t>Aggregate từ Order theo (shop, customer); phân trang.</t>
  </si>
  <si>
    <t>SEL-14</t>
  </si>
  <si>
    <t>Đánh giá</t>
  </si>
  <si>
    <t>Trả lời review</t>
  </si>
  <si>
    <t>Seller trả lời công khai từng đánh giá của khách (1 phản hồi/review, được sửa). Phản hồi hiển thị dưới review ở trang sản phẩm.</t>
  </si>
  <si>
    <t>Trường reply + replied_at trên Review hoặc bảng ReviewReply.</t>
  </si>
  <si>
    <t>SEL-15</t>
  </si>
  <si>
    <t>Báo cáo review vi phạm</t>
  </si>
  <si>
    <t>Seller báo cáo review spam/xúc phạm kèm lý do; Admin xử lý (giữ/ẩn review).</t>
  </si>
  <si>
    <t>Model ReviewReport; hàng chờ xử lý bên Admin.</t>
  </si>
  <si>
    <t>SEL-16</t>
  </si>
  <si>
    <t>Chat</t>
  </si>
  <si>
    <t>Chat với khách hàng</t>
  </si>
  <si>
    <t>Nhắn tin realtime 2 chiều giữa shop và khách: danh sách hội thoại, gửi text + ảnh, đánh dấu đã đọc, đếm tin chưa đọc, gửi kèm link sản phẩm/đơn hàng.</t>
  </si>
  <si>
    <t>Django Channels + WebSocket; Redis channel layer; lưu Message vào DB; Vue composable quản lý socket.</t>
  </si>
  <si>
    <t>SEL-17</t>
  </si>
  <si>
    <t>Hồ sơ shop</t>
  </si>
  <si>
    <t>Trang gian hàng</t>
  </si>
  <si>
    <t>Trang public của shop: logo, cover, mô tả, đánh giá trung bình, tổng sản phẩm, danh sách sản phẩm của shop có lọc/sắp xếp.</t>
  </si>
  <si>
    <t>Route /shop/:slug; API public trả thông tin shop + sản phẩm phân trang.</t>
  </si>
  <si>
    <t>SEL-18</t>
  </si>
  <si>
    <t>Đăng ký bán hàng</t>
  </si>
  <si>
    <t>Customer đăng ký trở thành seller: điền thông tin shop, upload giấy tờ, gửi duyệt; theo dõi trạng thái hồ sơ.</t>
  </si>
  <si>
    <t>Form nhiều bước trên Vue; hồ sơ pending chờ Admin duyệt (khớp ADM-09).</t>
  </si>
  <si>
    <t>YÊU CẦU CHỨC NĂNG — KHÁCH HÀNG (CUSTOMER)</t>
  </si>
  <si>
    <t>CUS-01</t>
  </si>
  <si>
    <t>Tài khoản</t>
  </si>
  <si>
    <t>Đăng ký</t>
  </si>
  <si>
    <t>Đăng ký bằng email + mật khẩu: validate email hợp lệ, mật khẩu đủ mạnh; gửi email xác thực kích hoạt tài khoản.</t>
  </si>
  <si>
    <t>DRF endpoint register; mật khẩu hash chuẩn Django; email verify token có hạn.</t>
  </si>
  <si>
    <t>CUS-02</t>
  </si>
  <si>
    <t>Đăng nhập / đăng xuất</t>
  </si>
  <si>
    <t>Đăng nhập email + mật khẩu, trả JWT (access + refresh); tự refresh token khi hết hạn; đăng xuất thu hồi refresh token; khóa tạm sau nhiều lần sai (rate limit).</t>
  </si>
  <si>
    <t>djangorestframework-simplejwt; axios interceptor refresh; blacklist refresh token; django-ratelimit.</t>
  </si>
  <si>
    <t>CUS-03</t>
  </si>
  <si>
    <t>Google Login</t>
  </si>
  <si>
    <t>Đăng nhập nhanh bằng tài khoản Google (OAuth2); tự tạo tài khoản lần đầu và liên kết với tài khoản email trùng nếu có.</t>
  </si>
  <si>
    <t>Google Identity Services trên FE lấy id_token; BE verify token, get_or_create user.</t>
  </si>
  <si>
    <t>CUS-04</t>
  </si>
  <si>
    <t>Quên mật khẩu</t>
  </si>
  <si>
    <t>Gửi link đặt lại mật khẩu qua email, link có thời hạn; đặt mật khẩu mới và vô hiệu link cũ.</t>
  </si>
  <si>
    <t>PasswordResetTokenGenerator; trang reset trên Vue nhận token qua query.</t>
  </si>
  <si>
    <t>CUS-05</t>
  </si>
  <si>
    <t>Hồ sơ cá nhân</t>
  </si>
  <si>
    <t>Xem/sửa thông tin: họ tên, ảnh đại diện, SĐT, ngày sinh, giới tính; đổi mật khẩu (yêu cầu mật khẩu cũ).</t>
  </si>
  <si>
    <t>Endpoint /me; upload avatar có crop phía FE.</t>
  </si>
  <si>
    <t>CUS-06</t>
  </si>
  <si>
    <t>Sổ địa chỉ</t>
  </si>
  <si>
    <t>CRUD nhiều địa chỉ nhận hàng: người nhận, SĐT, tỉnh/huyện/xã (dropdown 3 cấp), địa chỉ chi tiết, đặt mặc định.</t>
  </si>
  <si>
    <t>Dữ liệu đơn vị hành chính VN (seed sẵn); mỗi user 1 địa chỉ mặc định (partial unique index).</t>
  </si>
  <si>
    <t>CUS-07</t>
  </si>
  <si>
    <t>Trang chủ</t>
  </si>
  <si>
    <t>Banner &amp; khối nội dung</t>
  </si>
  <si>
    <t>Trang chủ gồm: carousel banner, khối Flash Sale đang chạy (kèm đồng hồ đếm ngược), sản phẩm gợi ý cho bạn, sản phẩm mới, bán chạy, danh mục nổi bật.</t>
  </si>
  <si>
    <t>Một API tổng hợp trả các khối; lazy-load từng khối; skeleton loading trên Vue.</t>
  </si>
  <si>
    <t>CUS-08</t>
  </si>
  <si>
    <t>Tìm kiếm &amp; Lọc</t>
  </si>
  <si>
    <t>Tìm kiếm theo từ khóa</t>
  </si>
  <si>
    <t>Ô tìm kiếm ở header, gợi ý từ khóa/sản phẩm khi gõ (autocomplete, debounce); trang kết quả phân trang.</t>
  </si>
  <si>
    <t>PostgreSQL full-text search hoặc trigram (pg_trgm) cho tiếng Việt; debounce 300ms.</t>
  </si>
  <si>
    <t>CUS-09</t>
  </si>
  <si>
    <t>Bộ lọc &amp; sắp xếp đa tiêu chí</t>
  </si>
  <si>
    <t>Lọc kết hợp: danh mục, khoảng giá, thương hiệu, đánh giá tối thiểu, màu/size, còn hàng; sắp xếp theo giá, mới nhất, bán chạy, đánh giá. Bộ lọc đồng bộ lên URL để chia sẻ được.</t>
  </si>
  <si>
    <t>django-filter; query params đồng bộ Vue Router; đếm số lượng theo từng facet là điểm cộng.</t>
  </si>
  <si>
    <t>CUS-10</t>
  </si>
  <si>
    <t>Chi tiết sản phẩm</t>
  </si>
  <si>
    <t>Trang chi tiết</t>
  </si>
  <si>
    <t>Gallery ảnh + video (zoom, swipe mobile); chọn biến thể (màu/size) — giá &amp; tồn kho đổi theo; thông số kỹ thuật dạng bảng; mô tả rich-text; sản phẩm cùng shop và tương tự.</t>
  </si>
  <si>
    <t>API detail trả kèm variants + media; component gallery (swiper); cập nhật giá theo variant chọn.</t>
  </si>
  <si>
    <t>CUS-11</t>
  </si>
  <si>
    <t>Review &amp; hỏi đáp (Q&amp;A)</t>
  </si>
  <si>
    <t>Xem đánh giá có lọc theo số sao / có ảnh; khu vực Q&amp;A: khách đặt câu hỏi, seller trả lời, hiển thị công khai.</t>
  </si>
  <si>
    <t>Model Question/Answer; review chỉ từ người đã mua (verified purchase).</t>
  </si>
  <si>
    <t>CUS-12</t>
  </si>
  <si>
    <t>Wishlist</t>
  </si>
  <si>
    <t>Sản phẩm yêu thích</t>
  </si>
  <si>
    <t>Thêm/bỏ yêu thích ngay trên card sản phẩm và trang chi tiết; trang wishlist riêng; báo khi sản phẩm yêu thích giảm giá (điểm cộng).</t>
  </si>
  <si>
    <t>Bảng Wishlist (user, product) unique; toggle API; notification giảm giá qua Celery.</t>
  </si>
  <si>
    <t>CUS-13</t>
  </si>
  <si>
    <t>Giỏ hàng</t>
  </si>
  <si>
    <t>Quản lý giỏ hàng</t>
  </si>
  <si>
    <t>Thêm sản phẩm (chọn biến thể, số lượng), sửa số lượng, xóa từng dòng, chọn/bỏ chọn dòng để thanh toán; giỏ gộp theo shop; kiểm tra tồn kho và cảnh báo khi giá thay đổi; giỏ của khách vãng lai lưu local và merge khi đăng nhập.</t>
  </si>
  <si>
    <t>Cart lưu DB theo user + localStorage cho guest; Pinia store; validate tồn kho khi vào checkout.</t>
  </si>
  <si>
    <t>CUS-14</t>
  </si>
  <si>
    <t>Thanh toán</t>
  </si>
  <si>
    <t>Checkout</t>
  </si>
  <si>
    <t>Trang đặt hàng: chọn địa chỉ, chọn/nhập voucher (sàn + shop) hiển thị số tiền giảm, chọn phương thức thanh toán, xem phí ship từng shop, tổng tiền tách theo shop. Đặt hàng tách thành nhiều đơn theo shop.</t>
  </si>
  <si>
    <t>Transaction atomic: tạo Order per shop, trừ tồn kho (select_for_update), ghi usage voucher; tính phí ship theo bảng cấu hình.</t>
  </si>
  <si>
    <t>CUS-15</t>
  </si>
  <si>
    <t>Phương thức thanh toán</t>
  </si>
  <si>
    <t>Hỗ trợ tối thiểu COD; tích hợp thêm 1 cổng sandbox (VNPay/MoMo/Stripe test): tạo giao dịch, redirect, xử lý callback/IPN, đối soát trạng thái thanh toán.</t>
  </si>
  <si>
    <t>VNPay sandbox phổ biến ở VN; endpoint IPN idempotent; bảng PaymentTransaction lưu mọi callback.</t>
  </si>
  <si>
    <t>CUS-16</t>
  </si>
  <si>
    <t>Đơn hàng</t>
  </si>
  <si>
    <t>Theo dõi đơn hàng</t>
  </si>
  <si>
    <t>Danh sách đơn theo tab trạng thái (Đã đặt / Đã xác nhận / Đang đóng gói / Đang giao / Hoàn thành / Đã hủy); chi tiết đơn có timeline trạng thái, thông tin giao nhận, tổng tiền.</t>
  </si>
  <si>
    <t>API list có filter status; timeline từ OrderStatusHistory.</t>
  </si>
  <si>
    <t>CUS-17</t>
  </si>
  <si>
    <t>Hủy đơn &amp; mua lại</t>
  </si>
  <si>
    <t>Khách hủy đơn khi chưa xác nhận (kèm lý do, hoàn tồn + hoàn lượt voucher); nút Mua lại thêm toàn bộ sản phẩm đơn cũ vào giỏ.</t>
  </si>
  <si>
    <t>Chỉ cho hủy ở trạng thái hợp lệ; hoàn tác trong transaction.</t>
  </si>
  <si>
    <t>CUS-18</t>
  </si>
  <si>
    <t>Yêu cầu trả hàng / hoàn tiền</t>
  </si>
  <si>
    <t>Trong X ngày sau khi nhận, khách mở yêu cầu hoàn/trả kèm ảnh &amp; lý do; seller đồng ý/từ chối; leo thang lên Admin thành tranh chấp (khớp ADM-18).</t>
  </si>
  <si>
    <t>Model ReturnRequest luồng trạng thái; cấu hình số ngày cho phép.</t>
  </si>
  <si>
    <t>CUS-19</t>
  </si>
  <si>
    <t>Viết đánh giá</t>
  </si>
  <si>
    <t>Sau khi đơn hoàn thành, khách đánh giá từng sản phẩm: 1-5 sao, bình luận, tối đa 5 ảnh + 1 video; mỗi sản phẩm/đơn đánh giá 1 lần, được sửa trong 7 ngày.</t>
  </si>
  <si>
    <t>Ràng buộc unique (order_item, user); cập nhật điểm trung bình sản phẩm (denormalize + signal).</t>
  </si>
  <si>
    <t>CUS-20</t>
  </si>
  <si>
    <t>Chat với shop</t>
  </si>
  <si>
    <t>Khách nhắn tin với shop từ trang sản phẩm/shop; nhận trả lời realtime; xem lịch sử hội thoại (khớp SEL-16).</t>
  </si>
  <si>
    <t>Cùng hạ tầng Channels/WebSocket với SEL-16.</t>
  </si>
  <si>
    <t>CUS-21</t>
  </si>
  <si>
    <t>Thông báo</t>
  </si>
  <si>
    <t>Trung tâm thông báo</t>
  </si>
  <si>
    <t>Chuông thông báo in-app: cập nhật trạng thái đơn, khuyến mãi, trả lời Q&amp;A/review... đếm chưa đọc, đánh dấu đã đọc, realtime.</t>
  </si>
  <si>
    <t>Model Notification; đẩy qua WebSocket; fallback polling.</t>
  </si>
  <si>
    <t>CUS-22</t>
  </si>
  <si>
    <t>Giao diện</t>
  </si>
  <si>
    <t>Responsive &amp; UX cơ bản</t>
  </si>
  <si>
    <t>Toàn bộ trang khách hàng responsive mobile-first; skeleton loading; trang 404/500; SEO cơ bản (title, meta) cho trang sản phẩm.</t>
  </si>
  <si>
    <t>Tailwind breakpoints; vue-meta/useHead; kiểm tra Lighthouse.</t>
  </si>
  <si>
    <t>YÊU CẦU TÍNH NĂNG AI</t>
  </si>
  <si>
    <t>AI-01</t>
  </si>
  <si>
    <t>Tìm kiếm</t>
  </si>
  <si>
    <t>AI Smart Search (tìm theo nhu cầu)</t>
  </si>
  <si>
    <t>Người dùng nhập nhu cầu tự nhiên (VD: 'laptop học AI dưới 20 triệu', 'quà sinh nhật cho bạn gái'); hệ thống hiểu ý định, trích xuất ràng buộc (loại hàng, giá, thuộc tính) và trả về sản phẩm phù hợp kèm giải thích ngắn vì sao gợi ý.</t>
  </si>
  <si>
    <t>LLM trích xuất structured filter (function calling) + semantic search bằng embeddings (pgvector); kết hợp lọc SQL theo giá/danh mục.</t>
  </si>
  <si>
    <t>AI-02</t>
  </si>
  <si>
    <t>Semantic search bằng embeddings</t>
  </si>
  <si>
    <t>Đánh index toàn bộ sản phẩm thành vector (tên + mô tả + thuộc tính); truy vấn được embed và tìm k sản phẩm gần nhất; kết hợp với keyword search (hybrid).</t>
  </si>
  <si>
    <t>pgvector trên PostgreSQL (cosine); model embedding đa ngôn ngữ (VD text-embedding-3-small hoặc model tiếng Việt); Celery re-index khi sản phẩm thay đổi.</t>
  </si>
  <si>
    <t>AI-03</t>
  </si>
  <si>
    <t>Gợi ý</t>
  </si>
  <si>
    <t>AI Recommendation cá nhân hóa</t>
  </si>
  <si>
    <t>Khối 'Gợi ý cho bạn' dựa trên lịch sử xem, lịch sử mua và giỏ hàng hiện tại; khách mới thấy sản phẩm phổ biến (cold start).</t>
  </si>
  <si>
    <t>Bắt đầu bằng content-based trên embeddings từ lịch sử tương tác; ghi log ProductView; nâng cấp collaborative filtering nếu kịp.</t>
  </si>
  <si>
    <t>AI-04</t>
  </si>
  <si>
    <t>AI Similar Products</t>
  </si>
  <si>
    <t>Khối 'Sản phẩm tương tự' ở trang chi tiết dựa trên độ tương đồng nội dung, không chỉ cùng danh mục.</t>
  </si>
  <si>
    <t>k-NN trên vector sản phẩm (pgvector); cache kết quả theo product_id.</t>
  </si>
  <si>
    <t>AI-05</t>
  </si>
  <si>
    <t>Trợ lý</t>
  </si>
  <si>
    <t>AI Shopping Assistant (chatbot)</t>
  </si>
  <si>
    <t>Chatbot hội thoại nhiều lượt tư vấn mua hàng: hỏi lại làm rõ nhu cầu, tìm và đề xuất sản phẩm thật của sàn (kèm card sản phẩm bấm được), so sánh, trả lời về chính sách giao/đổi trả.</t>
  </si>
  <si>
    <t>LLM + tool use (search_products, get_product, get_policy); giữ ngữ cảnh hội thoại theo session; stream câu trả lời qua SSE/WebSocket.</t>
  </si>
  <si>
    <t>AI-06</t>
  </si>
  <si>
    <t>AI Customer Support tự động</t>
  </si>
  <si>
    <t>Tự động trả lời câu hỏi phổ biến của khách trong chat (phí ship, thời gian giao, đổi trả, trạng thái đơn...); câu khó thì chuyển tiếp cho seller/CSKH kèm tóm tắt.</t>
  </si>
  <si>
    <t>RAG trên bộ FAQ + chính sách; ngưỡng confidence để quyết định auto-reply hay handoff.</t>
  </si>
  <si>
    <t>AI-07</t>
  </si>
  <si>
    <t>Nội dung</t>
  </si>
  <si>
    <t>AI Review Summary</t>
  </si>
  <si>
    <t>Trang sản phẩm hiển thị tóm tắt AI từ toàn bộ đánh giá: ưu điểm chính, nhược điểm chính, tỷ lệ hài lòng ước tính; tự cập nhật khi có nhiều review mới.</t>
  </si>
  <si>
    <t>LLM summarize theo batch; cache kết quả trong DB, re-generate qua Celery khi đủ N review mới; hiển thị kèm nhãn 'Tạo bởi AI'.</t>
  </si>
  <si>
    <t>AI-08</t>
  </si>
  <si>
    <t>AI Product Summary</t>
  </si>
  <si>
    <t>Nút 'Tóm tắt nhanh' rút gọn mô tả dài của sản phẩm thành các gạch đầu dòng dễ đọc.</t>
  </si>
  <si>
    <t>Prompt summarize; cache theo product + hash mô tả để không gọi lại thừa.</t>
  </si>
  <si>
    <t>AI-09</t>
  </si>
  <si>
    <t>AI Compare (so sánh sản phẩm)</t>
  </si>
  <si>
    <t>Khách chọn 2-4 sản phẩm để so sánh; AI sinh bảng so sánh thông số + nhận xét nên chọn sản phẩm nào theo từng nhu cầu.</t>
  </si>
  <si>
    <t>Gom structured data các sản phẩm đưa vào prompt; yêu cầu LLM trả JSON để render bảng trên Vue.</t>
  </si>
  <si>
    <t>AI-10</t>
  </si>
  <si>
    <t>Hỗ trợ seller</t>
  </si>
  <si>
    <t>AI Generate Description</t>
  </si>
  <si>
    <t>Trong form tạo sản phẩm, seller nhập tên + vài từ khóa; AI sinh tiêu đề chuẩn SEO, mô tả bán hàng hấp dẫn, meta description; seller sửa lại trước khi lưu.</t>
  </si>
  <si>
    <t>Prompt template có tone thương mại; trả về structured (title/description/seo); nút regenerate.</t>
  </si>
  <si>
    <t>AI-11</t>
  </si>
  <si>
    <t>AI Auto Tag &amp; phân loại</t>
  </si>
  <si>
    <t>Từ tên + mô tả + ảnh, AI đề xuất tag, danh mục phù hợp và từ khóa tìm kiếm; seller xác nhận trước khi áp dụng.</t>
  </si>
  <si>
    <t>LLM classify vào cây danh mục có sẵn (đưa danh sách danh mục vào prompt); vision model cho ảnh là điểm cộng.</t>
  </si>
  <si>
    <t>AI-12</t>
  </si>
  <si>
    <t>AI Translate mô tả</t>
  </si>
  <si>
    <t>Dịch mô tả sản phẩm sang tiếng Anh (và ngôn ngữ khác); lưu song song để hiển thị theo ngôn ngữ người xem.</t>
  </si>
  <si>
    <t>LLM dịch giữ nguyên format HTML; bảng ProductTranslation (product, lang).</t>
  </si>
  <si>
    <t>AI-13</t>
  </si>
  <si>
    <t>AI Price Suggestion</t>
  </si>
  <si>
    <t>Đề xuất khoảng giá bán dựa trên sản phẩm tương tự trên sàn (giá, đánh giá, lượng bán) kèm lý do.</t>
  </si>
  <si>
    <t>Truy vấn sản phẩm tương tự bằng vector + thống kê giá; LLM tổng hợp thành khuyến nghị.</t>
  </si>
  <si>
    <t>AI-14</t>
  </si>
  <si>
    <t>Phân tích</t>
  </si>
  <si>
    <t>AI Sales Analytics</t>
  </si>
  <si>
    <t>Trên dashboard (Admin &amp; Seller), AI phân tích số liệu kỳ này vs kỳ trước và viết nhận định: doanh thu tăng/giảm do đâu, sản phẩm nào đột biến, đề xuất hành động.</t>
  </si>
  <si>
    <t>Tính sẵn số liệu bằng SQL rồi đưa vào prompt (không cho LLM tự tính); sinh báo cáo qua Celery, cache theo kỳ.</t>
  </si>
  <si>
    <t>AI-15</t>
  </si>
  <si>
    <t>Hạ tầng AI</t>
  </si>
  <si>
    <t>AI Service Layer chung</t>
  </si>
  <si>
    <t>Tầng service AI dùng chung: quản lý API key qua biến môi trường, retry/timeout, đếm token &amp; chi phí, log lại prompt/response, cache kết quả, fallback khi provider lỗi.</t>
  </si>
  <si>
    <t>Module ai_service riêng trong Django; provider-agnostic (OpenAI/Claude/Gemini); bảng AIRequestLog phục vụ debug và báo cáo đồ án.</t>
  </si>
  <si>
    <t>TÍNH NĂNG NÂNG CAO (BONUS)</t>
  </si>
  <si>
    <t>BON-01</t>
  </si>
  <si>
    <t>Vận hành</t>
  </si>
  <si>
    <t>Theo dõi vận chuyển</t>
  </si>
  <si>
    <t>Tích hợp (giả lập hoặc API hãng vận chuyển) trạng thái vận đơn chi tiết: lấy hàng, đến kho phân loại, đang giao, giao thành công; hiển thị timeline cho khách.</t>
  </si>
  <si>
    <t>Bảng ShipmentEvent; webhook giả lập hoặc GHN/GHTK sandbox.</t>
  </si>
  <si>
    <t>BON-02</t>
  </si>
  <si>
    <t>Tương tác</t>
  </si>
  <si>
    <t>Follow shop</t>
  </si>
  <si>
    <t>Khách theo dõi shop yêu thích; nhận thông báo khi shop có sản phẩm mới/khuyến mãi; trang shop hiển thị số người theo dõi.</t>
  </si>
  <si>
    <t>Bảng ShopFollower; fan-out notification qua Celery.</t>
  </si>
  <si>
    <t>BON-03</t>
  </si>
  <si>
    <t>Combo sản phẩm</t>
  </si>
  <si>
    <t>Seller tạo combo nhiều sản phẩm với giá ưu đãi; trang chi tiết hiển thị khối 'Mua combo tiết kiệm'.</t>
  </si>
  <si>
    <t>Model Bundle + BundleItem; validate tồn kho mọi item khi đặt.</t>
  </si>
  <si>
    <t>BON-04</t>
  </si>
  <si>
    <t>Mua kèm giảm giá</t>
  </si>
  <si>
    <t>Gợi ý sản phẩm mua kèm được giảm % khi mua cùng sản phẩm chính (cross-sell).</t>
  </si>
  <si>
    <t>Bảng AddOnDeal; áp giá ở giỏ hàng khi đủ điều kiện.</t>
  </si>
  <si>
    <t>BON-05</t>
  </si>
  <si>
    <t>Tăng trưởng</t>
  </si>
  <si>
    <t>Affiliate</t>
  </si>
  <si>
    <t>Người dùng lấy link giới thiệu sản phẩm; đơn phát sinh từ link được ghi nhận hoa hồng; trang thống kê hoa hồng.</t>
  </si>
  <si>
    <t>Mã ref trên URL + cookie; bảng AffiliateClick/Commission; chống gian lận cơ bản.</t>
  </si>
  <si>
    <t>BON-06</t>
  </si>
  <si>
    <t>Loyalty</t>
  </si>
  <si>
    <t>Điểm thưởng</t>
  </si>
  <si>
    <t>Tích điểm theo giá trị đơn hoàn thành; dùng điểm trừ tiền ở checkout; lịch sử tích/tiêu điểm.</t>
  </si>
  <si>
    <t>Bảng PointTransaction append-only; quy tắc quy đổi cấu hình được.</t>
  </si>
  <si>
    <t>BON-07</t>
  </si>
  <si>
    <t>Ví điện tử nội bộ</t>
  </si>
  <si>
    <t>Ví tiền trong hệ thống: nhận hoàn tiền khi hủy/hoàn đơn, thanh toán bằng số dư ví; lịch sử giao dịch ví.</t>
  </si>
  <si>
    <t>Bảng WalletTransaction; mọi thay đổi số dư qua transaction + khóa row; không bao giờ update trực tiếp balance.</t>
  </si>
  <si>
    <t>BON-08</t>
  </si>
  <si>
    <t>Realtime</t>
  </si>
  <si>
    <t>Thông báo realtime</t>
  </si>
  <si>
    <t>Đẩy thông báo tức thời (đơn mới cho seller, cập nhật đơn cho khách) qua WebSocket thay vì đợi reload.</t>
  </si>
  <si>
    <t>Dùng chung hạ tầng Channels với chat; group theo user_id.</t>
  </si>
  <si>
    <t>BON-09</t>
  </si>
  <si>
    <t>Bán hàng</t>
  </si>
  <si>
    <t>Waitlist khi hết hàng</t>
  </si>
  <si>
    <t>Nút 'Báo tôi khi có hàng' trên sản phẩm hết hàng; khi nhập kho, hệ thống tự gửi thông báo/email cho người chờ.</t>
  </si>
  <si>
    <t>Bảng StockAlert; signal khi tồn &gt; 0 thì bắn job thông báo.</t>
  </si>
  <si>
    <t>BON-10</t>
  </si>
  <si>
    <t>Quản trị</t>
  </si>
  <si>
    <t>Báo cáo vi phạm</t>
  </si>
  <si>
    <t>Khách/seller báo cáo sản phẩm, review, shop vi phạm; Admin có hàng chờ xử lý tập trung.</t>
  </si>
  <si>
    <t>Model Report dạng generic (content_type + object_id).</t>
  </si>
  <si>
    <t>BON-11</t>
  </si>
  <si>
    <t>Dữ liệu</t>
  </si>
  <si>
    <t>Import / Export Excel</t>
  </si>
  <si>
    <t>Seller import sản phẩm hàng loạt từ file Excel mẫu (validate từng dòng, báo lỗi chi tiết); export danh sách sản phẩm/đơn hàng ra Excel.</t>
  </si>
  <si>
    <t>openpyxl; xử lý file lớn bằng Celery; trả file lỗi kèm chú thích từng dòng.</t>
  </si>
  <si>
    <t>BON-12</t>
  </si>
  <si>
    <t>Tiện ích</t>
  </si>
  <si>
    <t>QR đơn hàng &amp; QR sản phẩm</t>
  </si>
  <si>
    <t>Mỗi đơn có QR để tra cứu nhanh trạng thái; mỗi sản phẩm có QR dẫn tới trang chi tiết (dùng in tem).</t>
  </si>
  <si>
    <t>Thư viện qrcode sinh ảnh; endpoint tra cứu công khai theo mã.</t>
  </si>
  <si>
    <t>BON-13</t>
  </si>
  <si>
    <t>Gợi ý sản phẩm theo xu hướng</t>
  </si>
  <si>
    <t>Khối 'Đang thịnh hành' dựa trên lượt xem/mua tăng đột biến trong 24-48h gần nhất.</t>
  </si>
  <si>
    <t>Đếm sự kiện theo cửa sổ thời gian trong Redis; job tính trending score định kỳ.</t>
  </si>
  <si>
    <t>BON-14</t>
  </si>
  <si>
    <t>Flash Sale realtime</t>
  </si>
  <si>
    <t>Trong trang Flash Sale, số lượng còn lại cập nhật realtime; thanh tiến trình 'đã bán x%'.</t>
  </si>
  <si>
    <t>WebSocket broadcast khi tồn sale thay đổi; chống oversell bằng atomic decrement trong Redis/DB.</t>
  </si>
  <si>
    <t>YÊU CẦU PHI CHỨC NĂNG (NON-FUNCTIONAL)</t>
  </si>
  <si>
    <t>NFR-01</t>
  </si>
  <si>
    <t>Bảo mật</t>
  </si>
  <si>
    <t>Xác thực &amp; phiên đăng nhập</t>
  </si>
  <si>
    <t>JWT access ngắn hạn + refresh token; refresh rotation &amp; blacklist khi logout; mật khẩu hash (PBKDF2/argon2); không lộ token trong URL.</t>
  </si>
  <si>
    <t>simplejwt ROTATE_REFRESH_TOKENS; access lưu memory, refresh httpOnly cookie là điểm cộng.</t>
  </si>
  <si>
    <t>NFR-02</t>
  </si>
  <si>
    <t>Phân quyền chặt ở API</t>
  </si>
  <si>
    <t>Mọi endpoint khai báo permission rõ ràng; seller chỉ thao tác dữ liệu shop mình, khách chỉ thấy đơn của mình (object-level permission); test phân quyền tối thiểu cho các API nhạy cảm.</t>
  </si>
  <si>
    <t>DRF permission + queryset scoping theo user; không tin ID từ client.</t>
  </si>
  <si>
    <t>NFR-03</t>
  </si>
  <si>
    <t>Chống tấn công phổ biến</t>
  </si>
  <si>
    <t>Chống SQL injection (dùng ORM), XSS (sanitize rich-text), CSRF; rate limit endpoint đăng nhập/OTP; validate &amp; giới hạn upload file (loại, dung lượng); ẩn thông tin lỗi chi tiết ở production.</t>
  </si>
  <si>
    <t>bleach/nh3 sanitize mô tả; django-ratelimit; kiểm tra content-type thật của file.</t>
  </si>
  <si>
    <t>NFR-04</t>
  </si>
  <si>
    <t>Quản lý secrets</t>
  </si>
  <si>
    <t>Toàn bộ khóa bí mật (DB, JWT, AI API key, payment) qua biến môi trường/.env; không commit secrets vào git.</t>
  </si>
  <si>
    <t>django-environ; .env.example trong repo; kiểm tra bằng gitleaks là điểm cộng.</t>
  </si>
  <si>
    <t>NFR-05</t>
  </si>
  <si>
    <t>Hiệu năng</t>
  </si>
  <si>
    <t>Phân trang &amp; tối ưu truy vấn</t>
  </si>
  <si>
    <t>Mọi danh sách đều phân trang; tránh N+1 query (select_related/prefetch_related); index cho các cột lọc/sắp xếp chính; API danh sách chính phản hồi &lt; 500ms với dữ liệu mẫu ≥ 10k sản phẩm.</t>
  </si>
  <si>
    <t>django-debug-toolbar / nplusone khi dev; seed script sinh dữ liệu lớn để test.</t>
  </si>
  <si>
    <t>NFR-06</t>
  </si>
  <si>
    <t>Redis Cache</t>
  </si>
  <si>
    <t>Cache dữ liệu đọc nhiều: trang chủ, cây danh mục, chi tiết sản phẩm, kết quả AI; có chiến lược invalidate khi dữ liệu đổi.</t>
  </si>
  <si>
    <t>django-redis; cache key theo version; TTL hợp lý từng loại.</t>
  </si>
  <si>
    <t>NFR-07</t>
  </si>
  <si>
    <t>Background jobs</t>
  </si>
  <si>
    <t>Tác vụ chậm chạy nền: gửi email, sinh nội dung AI, re-index embeddings, xuất Excel, thống kê định kỳ.</t>
  </si>
  <si>
    <t>Celery + Redis broker; Celery beat cho job định kỳ; retry có backoff.</t>
  </si>
  <si>
    <t>NFR-08</t>
  </si>
  <si>
    <t>Kiến trúc</t>
  </si>
  <si>
    <t>Thiết kế API &amp; tài liệu</t>
  </si>
  <si>
    <t>API RESTful đặt tên nhất quán, version /api/v1/; response format thống nhất (data/error); tài liệu tự sinh Swagger/OpenAPI đầy đủ.</t>
  </si>
  <si>
    <t>drf-spectacular; viết mô tả serializer đầy đủ.</t>
  </si>
  <si>
    <t>NFR-09</t>
  </si>
  <si>
    <t>Cấu trúc code FE</t>
  </si>
  <si>
    <t>Vue 3 + TypeScript chuẩn: Composition API, Pinia store theo domain, tách API layer (axios instance + interceptor), component tái sử dụng, ESLint + Prettier pass.</t>
  </si>
  <si>
    <t>Cấu trúc thư mục features/; strict mode TypeScript; env qua import.meta.env.</t>
  </si>
  <si>
    <t>NFR-10</t>
  </si>
  <si>
    <t>Database design</t>
  </si>
  <si>
    <t>ERD đầy đủ trước khi code; chuẩn hóa hợp lý; migration quản lý bằng Django; constraint ở tầng DB (unique, check, FK); seed data mẫu.</t>
  </si>
  <si>
    <t>Vẽ ERD (dbdiagram.io); fixtures/management command seed.</t>
  </si>
  <si>
    <t>NFR-11</t>
  </si>
  <si>
    <t>Triển khai</t>
  </si>
  <si>
    <t>Docker hóa toàn bộ</t>
  </si>
  <si>
    <t>docker-compose chạy được toàn hệ thống 1 lệnh: frontend (build Vite → Nginx), backend (gunicorn), celery worker + beat, redis; kết nối PostgreSQL external qua biến môi trường; Dockerfile multi-stage.</t>
  </si>
  <si>
    <t>Nginx reverse proxy: / → FE static, /api &amp; /ws → backend; healthcheck từng service.</t>
  </si>
  <si>
    <t>NFR-12</t>
  </si>
  <si>
    <t>Nginx phục vụ static FE, proxy API và WebSocket, gzip, cache header cho asset, giới hạn kích thước upload.</t>
  </si>
  <si>
    <t>proxy_set_header Upgrade cho WebSocket; client_max_body_size cho upload ảnh.</t>
  </si>
  <si>
    <t>NFR-13</t>
  </si>
  <si>
    <t>Pipeline tự động: lint + test khi push, build image khi merge; deploy tự động là điểm cộng.</t>
  </si>
  <si>
    <t>GitHub Actions: job FE (eslint, vitest, build) + job BE (ruff, pytest).</t>
  </si>
  <si>
    <t>NFR-14</t>
  </si>
  <si>
    <t>Chất lượng</t>
  </si>
  <si>
    <t>Unit test &amp; Integration test</t>
  </si>
  <si>
    <t>BE: unit test cho service logic (giỏ hàng, checkout, voucher, tồn kho) và integration test cho API chính; FE: unit test component/store quan trọng. Độ phủ mục tiêu ≥ 60% cho module core.</t>
  </si>
  <si>
    <t>pytest + pytest-django + factory_boy; vitest + vue test utils; test case chống oversell tồn kho.</t>
  </si>
  <si>
    <t>NFR-15</t>
  </si>
  <si>
    <t>Logging &amp; giám sát</t>
  </si>
  <si>
    <t>Log có cấu trúc (request id, user id); log riêng lỗi thanh toán &amp; gọi AI; xem log qua docker logs; Sentry là điểm cộng.</t>
  </si>
  <si>
    <t>Python logging JSON formatter; middleware gắn request_id.</t>
  </si>
  <si>
    <t>NFR-16</t>
  </si>
  <si>
    <t>Sao lưu &amp; khôi phục dữ liệu</t>
  </si>
  <si>
    <t>Hướng dẫn/script backup PostgreSQL định kỳ và khôi phục; media files có chiến lược lưu trữ rõ ràng.</t>
  </si>
  <si>
    <t>pg_dump cron; tài liệu runbook ngắn.</t>
  </si>
  <si>
    <t>TIÊU CHÍ ĐÁNH GIÁ ĐỒ ÁN</t>
  </si>
  <si>
    <t>Nhóm tiêu chí</t>
  </si>
  <si>
    <t>Tiêu chí</t>
  </si>
  <si>
    <t>Trọng số (%)</t>
  </si>
  <si>
    <t>Yêu cầu liên quan</t>
  </si>
  <si>
    <t>Bắt buộc (40%)</t>
  </si>
  <si>
    <t>Authentication (đăng ký, đăng nhập, JWT, Google Login)</t>
  </si>
  <si>
    <t>CUS-01..04, NFR-01</t>
  </si>
  <si>
    <t>Authorization / phân quyền 3 vai trò</t>
  </si>
  <si>
    <t>ADM-08, NFR-02</t>
  </si>
  <si>
    <t>CRUD đầy đủ (sản phẩm, danh mục, người dùng...)</t>
  </si>
  <si>
    <t>ADM-04..05, SEL-02..04</t>
  </si>
  <si>
    <t>Quản lý kho (nhập/xuất, lịch sử, cảnh báo)</t>
  </si>
  <si>
    <t>SEL-06..09</t>
  </si>
  <si>
    <t>Giỏ hàng &amp; đặt hàng (checkout, luồng trạng thái đơn)</t>
  </si>
  <si>
    <t>CUS-13..17, SEL-10</t>
  </si>
  <si>
    <t>Dashboard thống kê Admin &amp; Seller</t>
  </si>
  <si>
    <t>ADM-01..03, SEL-01</t>
  </si>
  <si>
    <t>Nâng cao (20%)</t>
  </si>
  <si>
    <t>Upload ảnh/video, phân trang, bộ lọc đa tiêu chí</t>
  </si>
  <si>
    <t>SEL-03, CUS-08..09, NFR-05</t>
  </si>
  <si>
    <t>Voucher (sàn + shop) &amp; Wishlist</t>
  </si>
  <si>
    <t>ADM-20, SEL-12, CUS-12</t>
  </si>
  <si>
    <t>Review + trả lời review, biểu đồ thống kê</t>
  </si>
  <si>
    <t>CUS-19, SEL-14, ADM-02</t>
  </si>
  <si>
    <t>Chat realtime, thông báo</t>
  </si>
  <si>
    <t>SEL-16, CUS-20..21</t>
  </si>
  <si>
    <t>AI (25%)</t>
  </si>
  <si>
    <t>Smart Search + semantic search</t>
  </si>
  <si>
    <t>AI-01..02</t>
  </si>
  <si>
    <t>Chatbot tư vấn mua hàng</t>
  </si>
  <si>
    <t>Sinh mô tả sản phẩm &amp; tóm tắt review</t>
  </si>
  <si>
    <t>AI-07, AI-10</t>
  </si>
  <si>
    <t>Gợi ý sản phẩm (recommendation, similar)</t>
  </si>
  <si>
    <t>AI-03..04</t>
  </si>
  <si>
    <t>Bonus (15%)</t>
  </si>
  <si>
    <t>WebSocket, Background job, Redis cache</t>
  </si>
  <si>
    <t>NFR-06..07, BON-08</t>
  </si>
  <si>
    <t>Vector search / Elasticsearch</t>
  </si>
  <si>
    <t>Docker + Nginx + CI/CD</t>
  </si>
  <si>
    <t>NFR-11..13</t>
  </si>
  <si>
    <t>Unit test + Integration test, Logging</t>
  </si>
  <si>
    <t>NFR-14..15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</si>
</sst>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name val="Calibri"/>
    </font>
    <font>
      <b/>
      <sz val="14"/>
      <color rgb="FF1F4E79"/>
      <name val="Calibri"/>
    </font>
    <font>
      <b/>
      <sz val="11"/>
      <color rgb="FFFFFFFF"/>
      <name val="Calibri"/>
    </font>
    <font>
      <b/>
      <sz val="11"/>
      <name val="Calibri"/>
    </font>
    <font>
      <b/>
      <sz val="16"/>
      <color rgb="FF1F4E79"/>
      <name val="Calibri"/>
    </font>
    <font>
      <i/>
      <sz val="11"/>
      <name val="Calibri"/>
    </font>
    <font>
      <b/>
      <sz val="12"/>
      <color rgb="FF1F4E79"/>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2" borderId="0" xfId="0" applyFont="1" applyFill="1"/>
    <xf numFmtId="0" fontId="0" fillId="0" borderId="0" xfId="0" applyAlignment="1">
      <alignment wrapText="1"/>
    </xf>
    <xf numFmtId="1" fontId="0" fillId="0" borderId="0" xfId="0" applyNumberFormat="1"/>
    <xf numFmtId="0" fontId="3" fillId="0" borderId="0" xfId="0" applyFont="1"/>
    <xf numFmtId="1" fontId="3" fillId="0" borderId="0" xfId="0" applyNumberFormat="1" applyFont="1"/>
    <xf numFmtId="0" fontId="0" fillId="0" borderId="0" xfId="0" quotePrefix="1" applyAlignment="1">
      <alignment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xf>
    <xf numFmtId="0" fontId="6" fillId="0" borderId="0" xfId="0" applyFont="1" applyAlignment="1">
      <alignment vertical="top"/>
    </xf>
    <xf numFmtId="0" fontId="0" fillId="0" borderId="0" xfId="0" applyAlignment="1">
      <alignment vertical="top" wrapText="1"/>
    </xf>
    <xf numFmtId="0" fontId="2" fillId="2" borderId="0" xfId="0" applyFont="1" applyFill="1" applyAlignment="1">
      <alignment vertical="top"/>
    </xf>
    <xf numFmtId="1" fontId="0" fillId="0" borderId="0" xfId="0" applyNumberFormat="1" applyAlignment="1">
      <alignment vertical="top"/>
    </xf>
    <xf numFmtId="164" fontId="0" fillId="0" borderId="0" xfId="0" applyNumberFormat="1" applyAlignment="1">
      <alignment vertical="top"/>
    </xf>
    <xf numFmtId="0" fontId="3" fillId="0" borderId="0" xfId="0" applyFont="1" applyAlignment="1">
      <alignment vertical="top"/>
    </xf>
    <xf numFmtId="1" fontId="3" fillId="0" borderId="0" xfId="0" applyNumberFormat="1" applyFont="1" applyAlignment="1">
      <alignment vertical="top"/>
    </xf>
    <xf numFmtId="164" fontId="3" fillId="0" borderId="0" xfId="0" applyNumberFormat="1" applyFont="1" applyAlignment="1">
      <alignment vertical="top"/>
    </xf>
    <xf numFmtId="0" fontId="0" fillId="0" borderId="0" xfId="0" applyAlignment="1">
      <alignmen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a:solidFill>
            <a:schemeClr val="phClr"/>
          </a:solidFill>
        </a:ln>
        <a:ln w="12700" cap="flat">
          <a:solidFill>
            <a:schemeClr val="phClr"/>
          </a:solidFill>
        </a:ln>
        <a:ln w="19050" cap="flat">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pageSetUpPr fitToPage="1"/>
  </sheetPr>
  <dimension ref="A1:G35"/>
  <sheetViews>
    <sheetView zoomScaleNormal="100" zoomScaleSheetLayoutView="100" workbookViewId="0">
      <selection activeCell="B6" sqref="B6"/>
    </sheetView>
  </sheetViews>
  <sheetFormatPr defaultRowHeight="15"/>
  <cols>
    <col min="1" max="1" width="30" style="9" customWidth="1"/>
    <col min="2" max="2" width="60" style="9" customWidth="1"/>
    <col min="3" max="3" width="14" style="9" customWidth="1"/>
    <col min="4" max="5" width="10" style="9" customWidth="1"/>
    <col min="6" max="6" width="12" style="9" customWidth="1"/>
    <col min="7" max="7" width="14" style="9" customWidth="1"/>
    <col min="8" max="16384" width="9.140625" style="9"/>
  </cols>
  <sheetData>
    <row r="1" spans="1:7" ht="21">
      <c r="A1" s="8" t="s">
        <v>0</v>
      </c>
    </row>
    <row r="2" spans="1:7">
      <c r="A2" s="10" t="s">
        <v>1</v>
      </c>
    </row>
    <row r="4" spans="1:7" ht="15.75">
      <c r="A4" s="11" t="s">
        <v>2</v>
      </c>
    </row>
    <row r="5" spans="1:7" ht="69.75" customHeight="1">
      <c r="A5" s="19" t="s">
        <v>3</v>
      </c>
      <c r="B5" s="19"/>
    </row>
    <row r="7" spans="1:7" ht="15.75">
      <c r="A7" s="11" t="s">
        <v>4</v>
      </c>
    </row>
    <row r="8" spans="1:7">
      <c r="A8" s="13" t="s">
        <v>5</v>
      </c>
      <c r="B8" s="13" t="s">
        <v>6</v>
      </c>
      <c r="C8" s="13" t="s">
        <v>7</v>
      </c>
    </row>
    <row r="9" spans="1:7" ht="30.75">
      <c r="A9" s="9" t="s">
        <v>8</v>
      </c>
      <c r="B9" s="12" t="s">
        <v>9</v>
      </c>
      <c r="C9" s="9" t="s">
        <v>10</v>
      </c>
    </row>
    <row r="10" spans="1:7" ht="30.75">
      <c r="A10" s="9" t="s">
        <v>11</v>
      </c>
      <c r="B10" s="12" t="s">
        <v>12</v>
      </c>
      <c r="C10" s="9" t="s">
        <v>13</v>
      </c>
    </row>
    <row r="11" spans="1:7" ht="30.75">
      <c r="A11" s="9" t="s">
        <v>14</v>
      </c>
      <c r="B11" s="12" t="s">
        <v>15</v>
      </c>
      <c r="C11" s="9" t="s">
        <v>16</v>
      </c>
    </row>
    <row r="13" spans="1:7" ht="15.75">
      <c r="A13" s="11" t="s">
        <v>17</v>
      </c>
    </row>
    <row r="14" spans="1:7">
      <c r="A14" s="13" t="s">
        <v>18</v>
      </c>
      <c r="B14" s="13" t="s">
        <v>19</v>
      </c>
      <c r="C14" s="13" t="s">
        <v>20</v>
      </c>
      <c r="D14" s="13" t="s">
        <v>21</v>
      </c>
      <c r="E14" s="13" t="s">
        <v>22</v>
      </c>
      <c r="F14" s="13" t="s">
        <v>23</v>
      </c>
      <c r="G14" s="13" t="s">
        <v>24</v>
      </c>
    </row>
    <row r="15" spans="1:7">
      <c r="A15" s="9" t="s">
        <v>10</v>
      </c>
      <c r="B15" s="14">
        <f>COUNTA(Admin!$A$3:$A$28)</f>
        <v>26</v>
      </c>
      <c r="C15" s="14">
        <f>COUNTIF(Admin!$E$3:$E$28,"Bắt buộc")</f>
        <v>16</v>
      </c>
      <c r="D15" s="14">
        <f>COUNTIF(Admin!$E$3:$E$28,"Nên có")</f>
        <v>8</v>
      </c>
      <c r="E15" s="14">
        <f>COUNTIF(Admin!$E$3:$E$28,"Tùy chọn")</f>
        <v>2</v>
      </c>
      <c r="F15" s="14">
        <f>COUNTIF(Admin!$H$3:$H$28,"Hoàn thành")</f>
        <v>0</v>
      </c>
      <c r="G15" s="15">
        <f>IF(B15=0,0,F15/B15)</f>
        <v>0</v>
      </c>
    </row>
    <row r="16" spans="1:7">
      <c r="A16" s="9" t="s">
        <v>13</v>
      </c>
      <c r="B16" s="14">
        <f>COUNTA(Seller!$A$3:$A$20)</f>
        <v>18</v>
      </c>
      <c r="C16" s="14">
        <f>COUNTIF(Seller!$E$3:$E$20,"Bắt buộc")</f>
        <v>14</v>
      </c>
      <c r="D16" s="14">
        <f>COUNTIF(Seller!$E$3:$E$20,"Nên có")</f>
        <v>4</v>
      </c>
      <c r="E16" s="14">
        <f>COUNTIF(Seller!$E$3:$E$20,"Tùy chọn")</f>
        <v>0</v>
      </c>
      <c r="F16" s="14">
        <f>COUNTIF(Seller!$H$3:$H$20,"Hoàn thành")</f>
        <v>0</v>
      </c>
      <c r="G16" s="15">
        <f>IF(B16=0,0,F16/B16)</f>
        <v>0</v>
      </c>
    </row>
    <row r="17" spans="1:7">
      <c r="A17" s="9" t="s">
        <v>16</v>
      </c>
      <c r="B17" s="14">
        <f>COUNTA(Customer!$A$3:$A$24)</f>
        <v>22</v>
      </c>
      <c r="C17" s="14">
        <f>COUNTIF(Customer!$E$3:$E$24,"Bắt buộc")</f>
        <v>19</v>
      </c>
      <c r="D17" s="14">
        <f>COUNTIF(Customer!$E$3:$E$24,"Nên có")</f>
        <v>2</v>
      </c>
      <c r="E17" s="14">
        <f>COUNTIF(Customer!$E$3:$E$24,"Tùy chọn")</f>
        <v>1</v>
      </c>
      <c r="F17" s="14">
        <f>COUNTIF(Customer!$H$3:$H$24,"Hoàn thành")</f>
        <v>0</v>
      </c>
      <c r="G17" s="15">
        <f>IF(B17=0,0,F17/B17)</f>
        <v>0</v>
      </c>
    </row>
    <row r="18" spans="1:7">
      <c r="A18" s="9" t="s">
        <v>25</v>
      </c>
      <c r="B18" s="14">
        <f>COUNTA(AI!$A$3:$A$17)</f>
        <v>15</v>
      </c>
      <c r="C18" s="14">
        <f>COUNTIF(AI!$E$3:$E$17,"Bắt buộc")</f>
        <v>5</v>
      </c>
      <c r="D18" s="14">
        <f>COUNTIF(AI!$E$3:$E$17,"Nên có")</f>
        <v>3</v>
      </c>
      <c r="E18" s="14">
        <f>COUNTIF(AI!$E$3:$E$17,"Tùy chọn")</f>
        <v>7</v>
      </c>
      <c r="F18" s="14">
        <f>COUNTIF(AI!$H$3:$H$17,"Hoàn thành")</f>
        <v>0</v>
      </c>
      <c r="G18" s="15">
        <f>IF(B18=0,0,F18/B18)</f>
        <v>0</v>
      </c>
    </row>
    <row r="19" spans="1:7">
      <c r="A19" s="9" t="s">
        <v>26</v>
      </c>
      <c r="B19" s="14">
        <f>COUNTA(Bonus!$A$3:$A$16)</f>
        <v>14</v>
      </c>
      <c r="C19" s="14">
        <f>COUNTIF(Bonus!$E$3:$E$16,"Bắt buộc")</f>
        <v>0</v>
      </c>
      <c r="D19" s="14">
        <f>COUNTIF(Bonus!$E$3:$E$16,"Nên có")</f>
        <v>2</v>
      </c>
      <c r="E19" s="14">
        <f>COUNTIF(Bonus!$E$3:$E$16,"Tùy chọn")</f>
        <v>12</v>
      </c>
      <c r="F19" s="14">
        <f>COUNTIF(Bonus!$H$3:$H$16,"Hoàn thành")</f>
        <v>0</v>
      </c>
      <c r="G19" s="15">
        <f>IF(B19=0,0,F19/B19)</f>
        <v>0</v>
      </c>
    </row>
    <row r="20" spans="1:7">
      <c r="A20" s="9" t="s">
        <v>27</v>
      </c>
      <c r="B20" s="14">
        <f>COUNTA('Phi chức năng'!$A$3:$A$18)</f>
        <v>16</v>
      </c>
      <c r="C20" s="14">
        <f>COUNTIF('Phi chức năng'!$E$3:$E$18,"Bắt buộc")</f>
        <v>11</v>
      </c>
      <c r="D20" s="14">
        <f>COUNTIF('Phi chức năng'!$E$3:$E$18,"Nên có")</f>
        <v>4</v>
      </c>
      <c r="E20" s="14">
        <f>COUNTIF('Phi chức năng'!$E$3:$E$18,"Tùy chọn")</f>
        <v>1</v>
      </c>
      <c r="F20" s="14">
        <f>COUNTIF('Phi chức năng'!$H$3:$H$18,"Hoàn thành")</f>
        <v>0</v>
      </c>
      <c r="G20" s="15">
        <f>IF(B20=0,0,F20/B20)</f>
        <v>0</v>
      </c>
    </row>
    <row r="21" spans="1:7">
      <c r="A21" s="16" t="s">
        <v>28</v>
      </c>
      <c r="B21" s="17">
        <f>SUM(B15:B20)</f>
        <v>111</v>
      </c>
      <c r="C21" s="17">
        <f>SUM(C15:C20)</f>
        <v>65</v>
      </c>
      <c r="D21" s="17">
        <f>SUM(D15:D20)</f>
        <v>23</v>
      </c>
      <c r="E21" s="17">
        <f>SUM(E15:E20)</f>
        <v>23</v>
      </c>
      <c r="F21" s="17">
        <f>SUM(F15:F20)</f>
        <v>0</v>
      </c>
      <c r="G21" s="18">
        <f>IF(B21=0,0,F21/B21)</f>
        <v>0</v>
      </c>
    </row>
    <row r="23" spans="1:7" ht="15.75">
      <c r="A23" s="11" t="s">
        <v>29</v>
      </c>
    </row>
    <row r="24" spans="1:7">
      <c r="A24" s="19" t="s">
        <v>30</v>
      </c>
      <c r="B24" s="19"/>
      <c r="C24" s="19"/>
      <c r="D24" s="19"/>
    </row>
    <row r="25" spans="1:7">
      <c r="A25" s="19" t="s">
        <v>31</v>
      </c>
      <c r="B25" s="19"/>
      <c r="C25" s="19"/>
      <c r="D25" s="19"/>
    </row>
    <row r="26" spans="1:7">
      <c r="A26" s="19" t="s">
        <v>32</v>
      </c>
      <c r="B26" s="19"/>
      <c r="C26" s="19"/>
      <c r="D26" s="19"/>
    </row>
    <row r="27" spans="1:7">
      <c r="A27" s="19" t="s">
        <v>33</v>
      </c>
      <c r="B27" s="19"/>
      <c r="C27" s="19"/>
      <c r="D27" s="19"/>
    </row>
    <row r="28" spans="1:7">
      <c r="A28" s="19" t="s">
        <v>34</v>
      </c>
      <c r="B28" s="19"/>
      <c r="C28" s="19"/>
      <c r="D28" s="19"/>
    </row>
    <row r="29" spans="1:7">
      <c r="A29" s="19" t="s">
        <v>35</v>
      </c>
      <c r="B29" s="19"/>
      <c r="C29" s="19"/>
      <c r="D29" s="19"/>
    </row>
    <row r="31" spans="1:7" ht="15.75">
      <c r="A31" s="11" t="s">
        <v>36</v>
      </c>
    </row>
    <row r="32" spans="1:7">
      <c r="A32" s="19" t="s">
        <v>37</v>
      </c>
      <c r="B32" s="19"/>
      <c r="C32" s="19"/>
      <c r="D32" s="19"/>
    </row>
    <row r="33" spans="1:4">
      <c r="A33" s="19" t="s">
        <v>38</v>
      </c>
      <c r="B33" s="19"/>
      <c r="C33" s="19"/>
      <c r="D33" s="19"/>
    </row>
    <row r="34" spans="1:4">
      <c r="A34" s="19" t="s">
        <v>39</v>
      </c>
      <c r="B34" s="19"/>
      <c r="C34" s="19"/>
      <c r="D34" s="19"/>
    </row>
    <row r="35" spans="1:4">
      <c r="A35" s="19" t="s">
        <v>40</v>
      </c>
      <c r="B35" s="19"/>
      <c r="C35" s="19"/>
      <c r="D35" s="19"/>
    </row>
  </sheetData>
  <mergeCells count="11">
    <mergeCell ref="A35:D35"/>
    <mergeCell ref="A28:D28"/>
    <mergeCell ref="A29:D29"/>
    <mergeCell ref="A32:D32"/>
    <mergeCell ref="A33:D33"/>
    <mergeCell ref="A34:D34"/>
    <mergeCell ref="A5:B5"/>
    <mergeCell ref="A24:D24"/>
    <mergeCell ref="A25:D25"/>
    <mergeCell ref="A26:D26"/>
    <mergeCell ref="A27:D27"/>
  </mergeCells>
  <pageMargins left="0" right="0" top="0" bottom="0"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pageSetUpPr fitToPage="1"/>
  </sheetPr>
  <dimension ref="A1:D28"/>
  <sheetViews>
    <sheetView workbookViewId="0">
      <pane ySplit="2" topLeftCell="A20" activePane="bottomLeft" state="frozen"/>
      <selection pane="bottomLeft" activeCell="D27" sqref="B27:D27"/>
    </sheetView>
  </sheetViews>
  <sheetFormatPr defaultRowHeight="15"/>
  <cols>
    <col min="1" max="1" width="12" customWidth="1"/>
    <col min="2" max="2" width="30" customWidth="1"/>
    <col min="3" max="3" width="44" customWidth="1"/>
    <col min="4" max="4" width="52" customWidth="1"/>
  </cols>
  <sheetData>
    <row r="1" spans="1:4" ht="18.75">
      <c r="A1" s="1" t="s">
        <v>41</v>
      </c>
    </row>
    <row r="2" spans="1:4">
      <c r="A2" s="2" t="s">
        <v>42</v>
      </c>
      <c r="B2" s="2" t="s">
        <v>43</v>
      </c>
      <c r="C2" s="2" t="s">
        <v>44</v>
      </c>
      <c r="D2" s="2" t="s">
        <v>45</v>
      </c>
    </row>
    <row r="3" spans="1:4">
      <c r="A3" t="s">
        <v>46</v>
      </c>
      <c r="B3" t="s">
        <v>47</v>
      </c>
      <c r="C3" s="3" t="s">
        <v>48</v>
      </c>
      <c r="D3" s="3" t="s">
        <v>49</v>
      </c>
    </row>
    <row r="4" spans="1:4">
      <c r="A4" t="s">
        <v>46</v>
      </c>
      <c r="B4" t="s">
        <v>50</v>
      </c>
      <c r="C4" s="3" t="s">
        <v>51</v>
      </c>
      <c r="D4" s="3" t="s">
        <v>52</v>
      </c>
    </row>
    <row r="5" spans="1:4">
      <c r="A5" t="s">
        <v>46</v>
      </c>
      <c r="B5" t="s">
        <v>53</v>
      </c>
      <c r="C5" s="3" t="s">
        <v>54</v>
      </c>
      <c r="D5" s="3" t="s">
        <v>55</v>
      </c>
    </row>
    <row r="6" spans="1:4">
      <c r="A6" t="s">
        <v>46</v>
      </c>
      <c r="B6" t="s">
        <v>56</v>
      </c>
      <c r="C6" s="3" t="s">
        <v>57</v>
      </c>
      <c r="D6" s="3" t="s">
        <v>58</v>
      </c>
    </row>
    <row r="7" spans="1:4">
      <c r="A7" t="s">
        <v>46</v>
      </c>
      <c r="B7" t="s">
        <v>59</v>
      </c>
      <c r="C7" s="3" t="s">
        <v>60</v>
      </c>
      <c r="D7" s="3" t="s">
        <v>61</v>
      </c>
    </row>
    <row r="8" spans="1:4">
      <c r="A8" t="s">
        <v>46</v>
      </c>
      <c r="B8" t="s">
        <v>62</v>
      </c>
      <c r="C8" s="3" t="s">
        <v>63</v>
      </c>
      <c r="D8" s="3" t="s">
        <v>64</v>
      </c>
    </row>
    <row r="9" spans="1:4">
      <c r="A9" t="s">
        <v>46</v>
      </c>
      <c r="B9" t="s">
        <v>65</v>
      </c>
      <c r="C9" s="3" t="s">
        <v>66</v>
      </c>
      <c r="D9" s="3" t="s">
        <v>67</v>
      </c>
    </row>
    <row r="10" spans="1:4">
      <c r="A10" t="s">
        <v>46</v>
      </c>
      <c r="B10" t="s">
        <v>68</v>
      </c>
      <c r="C10" s="3" t="s">
        <v>69</v>
      </c>
      <c r="D10" s="3" t="s">
        <v>70</v>
      </c>
    </row>
    <row r="11" spans="1:4">
      <c r="A11" t="s">
        <v>46</v>
      </c>
      <c r="B11" t="s">
        <v>71</v>
      </c>
      <c r="C11" s="3" t="s">
        <v>72</v>
      </c>
      <c r="D11" s="3" t="s">
        <v>73</v>
      </c>
    </row>
    <row r="12" spans="1:4">
      <c r="A12" t="s">
        <v>46</v>
      </c>
      <c r="B12" t="s">
        <v>74</v>
      </c>
      <c r="C12" s="3" t="s">
        <v>75</v>
      </c>
      <c r="D12" s="3" t="s">
        <v>76</v>
      </c>
    </row>
    <row r="13" spans="1:4">
      <c r="A13" t="s">
        <v>77</v>
      </c>
      <c r="B13" t="s">
        <v>78</v>
      </c>
      <c r="C13" s="7" t="s">
        <v>79</v>
      </c>
      <c r="D13" s="3" t="s">
        <v>80</v>
      </c>
    </row>
    <row r="14" spans="1:4">
      <c r="A14" t="s">
        <v>77</v>
      </c>
      <c r="B14" t="s">
        <v>81</v>
      </c>
      <c r="C14" s="3" t="s">
        <v>57</v>
      </c>
      <c r="D14" s="3" t="s">
        <v>82</v>
      </c>
    </row>
    <row r="15" spans="1:4">
      <c r="A15" t="s">
        <v>77</v>
      </c>
      <c r="B15" t="s">
        <v>83</v>
      </c>
      <c r="C15" s="3" t="s">
        <v>84</v>
      </c>
      <c r="D15" s="3" t="s">
        <v>85</v>
      </c>
    </row>
    <row r="16" spans="1:4">
      <c r="A16" t="s">
        <v>77</v>
      </c>
      <c r="B16" t="s">
        <v>86</v>
      </c>
      <c r="C16" s="3" t="s">
        <v>87</v>
      </c>
      <c r="D16" s="3" t="s">
        <v>88</v>
      </c>
    </row>
    <row r="17" spans="1:4">
      <c r="A17" t="s">
        <v>77</v>
      </c>
      <c r="B17" t="s">
        <v>89</v>
      </c>
      <c r="C17" s="3" t="s">
        <v>63</v>
      </c>
      <c r="D17" s="3" t="s">
        <v>90</v>
      </c>
    </row>
    <row r="18" spans="1:4">
      <c r="A18" t="s">
        <v>77</v>
      </c>
      <c r="B18" t="s">
        <v>91</v>
      </c>
      <c r="C18" s="3" t="s">
        <v>57</v>
      </c>
      <c r="D18" s="3" t="s">
        <v>92</v>
      </c>
    </row>
    <row r="19" spans="1:4">
      <c r="A19" t="s">
        <v>77</v>
      </c>
      <c r="B19" t="s">
        <v>93</v>
      </c>
      <c r="C19" s="3" t="s">
        <v>94</v>
      </c>
      <c r="D19" s="3" t="s">
        <v>95</v>
      </c>
    </row>
    <row r="20" spans="1:4" ht="30.75">
      <c r="A20" t="s">
        <v>96</v>
      </c>
      <c r="B20" t="s">
        <v>97</v>
      </c>
      <c r="C20" s="3" t="s">
        <v>98</v>
      </c>
      <c r="D20" s="3" t="s">
        <v>99</v>
      </c>
    </row>
    <row r="21" spans="1:4">
      <c r="A21" t="s">
        <v>96</v>
      </c>
      <c r="B21" t="s">
        <v>100</v>
      </c>
      <c r="C21" s="3" t="s">
        <v>101</v>
      </c>
      <c r="D21" s="3" t="s">
        <v>102</v>
      </c>
    </row>
    <row r="22" spans="1:4">
      <c r="A22" t="s">
        <v>96</v>
      </c>
      <c r="B22" t="s">
        <v>103</v>
      </c>
      <c r="C22" s="3" t="s">
        <v>104</v>
      </c>
      <c r="D22" s="3" t="s">
        <v>105</v>
      </c>
    </row>
    <row r="23" spans="1:4" ht="30.75">
      <c r="A23" t="s">
        <v>106</v>
      </c>
      <c r="B23" t="s">
        <v>107</v>
      </c>
      <c r="C23" s="3" t="s">
        <v>108</v>
      </c>
      <c r="D23" s="3" t="s">
        <v>109</v>
      </c>
    </row>
    <row r="24" spans="1:4">
      <c r="A24" t="s">
        <v>106</v>
      </c>
      <c r="B24" t="s">
        <v>110</v>
      </c>
      <c r="C24" s="3" t="s">
        <v>111</v>
      </c>
      <c r="D24" s="3" t="s">
        <v>112</v>
      </c>
    </row>
    <row r="25" spans="1:4">
      <c r="A25" t="s">
        <v>113</v>
      </c>
      <c r="B25" t="s">
        <v>114</v>
      </c>
      <c r="C25" s="3" t="s">
        <v>115</v>
      </c>
      <c r="D25" s="3" t="s">
        <v>116</v>
      </c>
    </row>
    <row r="26" spans="1:4">
      <c r="A26" t="s">
        <v>113</v>
      </c>
      <c r="B26" t="s">
        <v>117</v>
      </c>
      <c r="C26" s="3" t="s">
        <v>118</v>
      </c>
      <c r="D26" s="3" t="s">
        <v>119</v>
      </c>
    </row>
    <row r="27" spans="1:4">
      <c r="A27" t="s">
        <v>113</v>
      </c>
      <c r="B27" t="s">
        <v>120</v>
      </c>
      <c r="C27" s="3" t="s">
        <v>121</v>
      </c>
      <c r="D27" s="3" t="s">
        <v>122</v>
      </c>
    </row>
    <row r="28" spans="1:4">
      <c r="A28" t="s">
        <v>123</v>
      </c>
      <c r="B28" t="s">
        <v>124</v>
      </c>
      <c r="C28" s="3" t="s">
        <v>125</v>
      </c>
      <c r="D28" s="3" t="s">
        <v>126</v>
      </c>
    </row>
  </sheetData>
  <autoFilter ref="A2:D28" xr:uid="{00000000-0009-0000-0000-000001000000}"/>
  <pageMargins left="0" right="0" top="0" bottom="0"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pageSetUpPr fitToPage="1"/>
  </sheetPr>
  <dimension ref="A1:H28"/>
  <sheetViews>
    <sheetView workbookViewId="0">
      <pane ySplit="2" topLeftCell="A10" activePane="bottomLeft" state="frozen"/>
      <selection pane="bottomLeft" activeCell="D10" sqref="D10"/>
    </sheetView>
  </sheetViews>
  <sheetFormatPr defaultRowHeight="15"/>
  <cols>
    <col min="1" max="1" width="10" customWidth="1"/>
    <col min="2" max="2" width="20" customWidth="1"/>
    <col min="3" max="3" width="30" customWidth="1"/>
    <col min="4" max="4" width="62" customWidth="1"/>
    <col min="5" max="6" width="12" customWidth="1"/>
    <col min="7" max="7" width="48" customWidth="1"/>
    <col min="8" max="8" width="12" customWidth="1"/>
  </cols>
  <sheetData>
    <row r="1" spans="1:8" ht="18.75">
      <c r="A1" s="1" t="s">
        <v>127</v>
      </c>
    </row>
    <row r="2" spans="1:8">
      <c r="A2" s="2" t="s">
        <v>128</v>
      </c>
      <c r="B2" s="2" t="s">
        <v>129</v>
      </c>
      <c r="C2" s="2" t="s">
        <v>130</v>
      </c>
      <c r="D2" s="2" t="s">
        <v>131</v>
      </c>
      <c r="E2" s="2" t="s">
        <v>132</v>
      </c>
      <c r="F2" s="2" t="s">
        <v>133</v>
      </c>
      <c r="G2" s="2" t="s">
        <v>134</v>
      </c>
      <c r="H2" s="2" t="s">
        <v>135</v>
      </c>
    </row>
    <row r="3" spans="1:8" ht="45.75">
      <c r="A3" t="s">
        <v>136</v>
      </c>
      <c r="B3" s="3" t="s">
        <v>137</v>
      </c>
      <c r="C3" s="3" t="s">
        <v>138</v>
      </c>
      <c r="D3" s="3" t="s">
        <v>139</v>
      </c>
      <c r="E3" t="s">
        <v>20</v>
      </c>
      <c r="F3" t="s">
        <v>140</v>
      </c>
      <c r="G3" s="3" t="s">
        <v>141</v>
      </c>
      <c r="H3" t="s">
        <v>142</v>
      </c>
    </row>
    <row r="4" spans="1:8" ht="30.75">
      <c r="A4" t="s">
        <v>143</v>
      </c>
      <c r="B4" s="3" t="s">
        <v>137</v>
      </c>
      <c r="C4" s="3" t="s">
        <v>144</v>
      </c>
      <c r="D4" s="3" t="s">
        <v>145</v>
      </c>
      <c r="E4" t="s">
        <v>20</v>
      </c>
      <c r="F4" t="s">
        <v>140</v>
      </c>
      <c r="G4" s="3" t="s">
        <v>146</v>
      </c>
      <c r="H4" t="s">
        <v>142</v>
      </c>
    </row>
    <row r="5" spans="1:8" ht="30.75">
      <c r="A5" t="s">
        <v>147</v>
      </c>
      <c r="B5" s="3" t="s">
        <v>137</v>
      </c>
      <c r="C5" s="3" t="s">
        <v>148</v>
      </c>
      <c r="D5" s="3" t="s">
        <v>149</v>
      </c>
      <c r="E5" t="s">
        <v>20</v>
      </c>
      <c r="F5" t="s">
        <v>150</v>
      </c>
      <c r="G5" s="3" t="s">
        <v>151</v>
      </c>
      <c r="H5" t="s">
        <v>142</v>
      </c>
    </row>
    <row r="6" spans="1:8" ht="30.75">
      <c r="A6" t="s">
        <v>152</v>
      </c>
      <c r="B6" s="3" t="s">
        <v>153</v>
      </c>
      <c r="C6" s="3" t="s">
        <v>154</v>
      </c>
      <c r="D6" s="3" t="s">
        <v>155</v>
      </c>
      <c r="E6" t="s">
        <v>20</v>
      </c>
      <c r="F6" t="s">
        <v>150</v>
      </c>
      <c r="G6" s="3" t="s">
        <v>156</v>
      </c>
      <c r="H6" t="s">
        <v>142</v>
      </c>
    </row>
    <row r="7" spans="1:8" ht="30.75">
      <c r="A7" t="s">
        <v>157</v>
      </c>
      <c r="B7" s="3" t="s">
        <v>153</v>
      </c>
      <c r="C7" s="3" t="s">
        <v>158</v>
      </c>
      <c r="D7" s="3" t="s">
        <v>159</v>
      </c>
      <c r="E7" t="s">
        <v>20</v>
      </c>
      <c r="F7" t="s">
        <v>150</v>
      </c>
      <c r="G7" s="3" t="s">
        <v>160</v>
      </c>
      <c r="H7" t="s">
        <v>142</v>
      </c>
    </row>
    <row r="8" spans="1:8" ht="45.75">
      <c r="A8" t="s">
        <v>161</v>
      </c>
      <c r="B8" s="3" t="s">
        <v>153</v>
      </c>
      <c r="C8" s="3" t="s">
        <v>162</v>
      </c>
      <c r="D8" s="3" t="s">
        <v>163</v>
      </c>
      <c r="E8" t="s">
        <v>20</v>
      </c>
      <c r="F8" t="s">
        <v>150</v>
      </c>
      <c r="G8" s="3" t="s">
        <v>164</v>
      </c>
      <c r="H8" t="s">
        <v>142</v>
      </c>
    </row>
    <row r="9" spans="1:8" ht="45.75">
      <c r="A9" t="s">
        <v>165</v>
      </c>
      <c r="B9" s="3" t="s">
        <v>153</v>
      </c>
      <c r="C9" s="3" t="s">
        <v>166</v>
      </c>
      <c r="D9" s="3" t="s">
        <v>167</v>
      </c>
      <c r="E9" t="s">
        <v>20</v>
      </c>
      <c r="F9" t="s">
        <v>150</v>
      </c>
      <c r="G9" s="3" t="s">
        <v>168</v>
      </c>
      <c r="H9" t="s">
        <v>142</v>
      </c>
    </row>
    <row r="10" spans="1:8" ht="30.75">
      <c r="A10" t="s">
        <v>169</v>
      </c>
      <c r="B10" s="3" t="s">
        <v>153</v>
      </c>
      <c r="C10" s="3" t="s">
        <v>170</v>
      </c>
      <c r="D10" s="3" t="s">
        <v>171</v>
      </c>
      <c r="E10" t="s">
        <v>20</v>
      </c>
      <c r="F10" t="s">
        <v>140</v>
      </c>
      <c r="G10" s="3" t="s">
        <v>172</v>
      </c>
      <c r="H10" t="s">
        <v>142</v>
      </c>
    </row>
    <row r="11" spans="1:8" ht="45.75">
      <c r="A11" t="s">
        <v>173</v>
      </c>
      <c r="B11" s="3" t="s">
        <v>174</v>
      </c>
      <c r="C11" s="3" t="s">
        <v>175</v>
      </c>
      <c r="D11" s="3" t="s">
        <v>176</v>
      </c>
      <c r="E11" t="s">
        <v>20</v>
      </c>
      <c r="F11" t="s">
        <v>140</v>
      </c>
      <c r="G11" s="3" t="s">
        <v>177</v>
      </c>
      <c r="H11" t="s">
        <v>142</v>
      </c>
    </row>
    <row r="12" spans="1:8" ht="30.75">
      <c r="A12" t="s">
        <v>178</v>
      </c>
      <c r="B12" s="3" t="s">
        <v>174</v>
      </c>
      <c r="C12" s="3" t="s">
        <v>179</v>
      </c>
      <c r="D12" s="3" t="s">
        <v>180</v>
      </c>
      <c r="E12" t="s">
        <v>21</v>
      </c>
      <c r="F12" t="s">
        <v>140</v>
      </c>
      <c r="G12" s="3" t="s">
        <v>181</v>
      </c>
      <c r="H12" t="s">
        <v>142</v>
      </c>
    </row>
    <row r="13" spans="1:8" ht="30.75">
      <c r="A13" t="s">
        <v>182</v>
      </c>
      <c r="B13" s="3" t="s">
        <v>174</v>
      </c>
      <c r="C13" s="3" t="s">
        <v>183</v>
      </c>
      <c r="D13" s="3" t="s">
        <v>184</v>
      </c>
      <c r="E13" t="s">
        <v>20</v>
      </c>
      <c r="F13" t="s">
        <v>140</v>
      </c>
      <c r="G13" s="3" t="s">
        <v>185</v>
      </c>
      <c r="H13" t="s">
        <v>142</v>
      </c>
    </row>
    <row r="14" spans="1:8" ht="30.75">
      <c r="A14" t="s">
        <v>186</v>
      </c>
      <c r="B14" s="3" t="s">
        <v>174</v>
      </c>
      <c r="C14" s="3" t="s">
        <v>187</v>
      </c>
      <c r="D14" s="3" t="s">
        <v>188</v>
      </c>
      <c r="E14" t="s">
        <v>21</v>
      </c>
      <c r="F14" t="s">
        <v>140</v>
      </c>
      <c r="G14" s="3" t="s">
        <v>189</v>
      </c>
      <c r="H14" t="s">
        <v>142</v>
      </c>
    </row>
    <row r="15" spans="1:8" ht="30.75">
      <c r="A15" t="s">
        <v>190</v>
      </c>
      <c r="B15" s="3" t="s">
        <v>191</v>
      </c>
      <c r="C15" s="3" t="s">
        <v>192</v>
      </c>
      <c r="D15" s="3" t="s">
        <v>193</v>
      </c>
      <c r="E15" t="s">
        <v>21</v>
      </c>
      <c r="F15" t="s">
        <v>140</v>
      </c>
      <c r="G15" s="3" t="s">
        <v>194</v>
      </c>
      <c r="H15" t="s">
        <v>142</v>
      </c>
    </row>
    <row r="16" spans="1:8" ht="30.75">
      <c r="A16" t="s">
        <v>195</v>
      </c>
      <c r="B16" s="3" t="s">
        <v>191</v>
      </c>
      <c r="C16" s="3" t="s">
        <v>196</v>
      </c>
      <c r="D16" s="3" t="s">
        <v>197</v>
      </c>
      <c r="E16" t="s">
        <v>20</v>
      </c>
      <c r="F16" t="s">
        <v>150</v>
      </c>
      <c r="G16" s="3" t="s">
        <v>198</v>
      </c>
      <c r="H16" t="s">
        <v>142</v>
      </c>
    </row>
    <row r="17" spans="1:8" ht="30.75">
      <c r="A17" t="s">
        <v>199</v>
      </c>
      <c r="B17" s="3" t="s">
        <v>191</v>
      </c>
      <c r="C17" s="3" t="s">
        <v>200</v>
      </c>
      <c r="D17" s="3" t="s">
        <v>201</v>
      </c>
      <c r="E17" t="s">
        <v>20</v>
      </c>
      <c r="F17" t="s">
        <v>140</v>
      </c>
      <c r="G17" s="3" t="s">
        <v>202</v>
      </c>
      <c r="H17" t="s">
        <v>142</v>
      </c>
    </row>
    <row r="18" spans="1:8" ht="30.75">
      <c r="A18" t="s">
        <v>203</v>
      </c>
      <c r="B18" s="3" t="s">
        <v>191</v>
      </c>
      <c r="C18" s="3" t="s">
        <v>204</v>
      </c>
      <c r="D18" s="3" t="s">
        <v>205</v>
      </c>
      <c r="E18" t="s">
        <v>20</v>
      </c>
      <c r="F18" t="s">
        <v>150</v>
      </c>
      <c r="G18" s="3" t="s">
        <v>206</v>
      </c>
      <c r="H18" t="s">
        <v>142</v>
      </c>
    </row>
    <row r="19" spans="1:8" ht="45.75">
      <c r="A19" t="s">
        <v>207</v>
      </c>
      <c r="B19" s="3" t="s">
        <v>208</v>
      </c>
      <c r="C19" s="3" t="s">
        <v>209</v>
      </c>
      <c r="D19" s="3" t="s">
        <v>210</v>
      </c>
      <c r="E19" t="s">
        <v>20</v>
      </c>
      <c r="F19" t="s">
        <v>140</v>
      </c>
      <c r="G19" s="3" t="s">
        <v>211</v>
      </c>
      <c r="H19" t="s">
        <v>142</v>
      </c>
    </row>
    <row r="20" spans="1:8" ht="45.75">
      <c r="A20" t="s">
        <v>212</v>
      </c>
      <c r="B20" s="3" t="s">
        <v>208</v>
      </c>
      <c r="C20" s="3" t="s">
        <v>213</v>
      </c>
      <c r="D20" s="3" t="s">
        <v>214</v>
      </c>
      <c r="E20" t="s">
        <v>21</v>
      </c>
      <c r="F20" t="s">
        <v>215</v>
      </c>
      <c r="G20" s="3" t="s">
        <v>216</v>
      </c>
      <c r="H20" t="s">
        <v>142</v>
      </c>
    </row>
    <row r="21" spans="1:8" ht="45.75">
      <c r="A21" t="s">
        <v>217</v>
      </c>
      <c r="B21" s="3" t="s">
        <v>218</v>
      </c>
      <c r="C21" s="3" t="s">
        <v>219</v>
      </c>
      <c r="D21" s="3" t="s">
        <v>220</v>
      </c>
      <c r="E21" t="s">
        <v>21</v>
      </c>
      <c r="F21" t="s">
        <v>215</v>
      </c>
      <c r="G21" s="3" t="s">
        <v>221</v>
      </c>
      <c r="H21" t="s">
        <v>142</v>
      </c>
    </row>
    <row r="22" spans="1:8" ht="45.75">
      <c r="A22" t="s">
        <v>222</v>
      </c>
      <c r="B22" s="3" t="s">
        <v>218</v>
      </c>
      <c r="C22" s="3" t="s">
        <v>223</v>
      </c>
      <c r="D22" s="3" t="s">
        <v>224</v>
      </c>
      <c r="E22" t="s">
        <v>20</v>
      </c>
      <c r="F22" t="s">
        <v>140</v>
      </c>
      <c r="G22" s="3" t="s">
        <v>225</v>
      </c>
      <c r="H22" t="s">
        <v>142</v>
      </c>
    </row>
    <row r="23" spans="1:8" ht="30.75">
      <c r="A23" t="s">
        <v>226</v>
      </c>
      <c r="B23" s="3" t="s">
        <v>218</v>
      </c>
      <c r="C23" s="3" t="s">
        <v>227</v>
      </c>
      <c r="D23" s="3" t="s">
        <v>228</v>
      </c>
      <c r="E23" t="s">
        <v>20</v>
      </c>
      <c r="F23" t="s">
        <v>150</v>
      </c>
      <c r="G23" s="3" t="s">
        <v>229</v>
      </c>
      <c r="H23" t="s">
        <v>142</v>
      </c>
    </row>
    <row r="24" spans="1:8" ht="30.75">
      <c r="A24" t="s">
        <v>230</v>
      </c>
      <c r="B24" s="3" t="s">
        <v>231</v>
      </c>
      <c r="C24" s="3" t="s">
        <v>232</v>
      </c>
      <c r="D24" s="3" t="s">
        <v>233</v>
      </c>
      <c r="E24" t="s">
        <v>21</v>
      </c>
      <c r="F24" t="s">
        <v>140</v>
      </c>
      <c r="G24" s="3" t="s">
        <v>234</v>
      </c>
      <c r="H24" t="s">
        <v>142</v>
      </c>
    </row>
    <row r="25" spans="1:8" ht="30.75">
      <c r="A25" t="s">
        <v>235</v>
      </c>
      <c r="B25" s="3" t="s">
        <v>231</v>
      </c>
      <c r="C25" s="3" t="s">
        <v>236</v>
      </c>
      <c r="D25" s="3" t="s">
        <v>237</v>
      </c>
      <c r="E25" t="s">
        <v>21</v>
      </c>
      <c r="F25" t="s">
        <v>140</v>
      </c>
      <c r="G25" s="3" t="s">
        <v>238</v>
      </c>
      <c r="H25" t="s">
        <v>142</v>
      </c>
    </row>
    <row r="26" spans="1:8" ht="30.75">
      <c r="A26" t="s">
        <v>239</v>
      </c>
      <c r="B26" s="3" t="s">
        <v>231</v>
      </c>
      <c r="C26" s="3" t="s">
        <v>240</v>
      </c>
      <c r="D26" s="3" t="s">
        <v>241</v>
      </c>
      <c r="E26" t="s">
        <v>22</v>
      </c>
      <c r="F26" t="s">
        <v>140</v>
      </c>
      <c r="G26" s="3" t="s">
        <v>242</v>
      </c>
      <c r="H26" t="s">
        <v>142</v>
      </c>
    </row>
    <row r="27" spans="1:8" ht="45.75">
      <c r="A27" t="s">
        <v>243</v>
      </c>
      <c r="B27" s="3" t="s">
        <v>244</v>
      </c>
      <c r="C27" s="3" t="s">
        <v>245</v>
      </c>
      <c r="D27" s="3" t="s">
        <v>246</v>
      </c>
      <c r="E27" t="s">
        <v>21</v>
      </c>
      <c r="F27" t="s">
        <v>140</v>
      </c>
      <c r="G27" s="3" t="s">
        <v>247</v>
      </c>
      <c r="H27" t="s">
        <v>142</v>
      </c>
    </row>
    <row r="28" spans="1:8" ht="30.75">
      <c r="A28" t="s">
        <v>248</v>
      </c>
      <c r="B28" s="3" t="s">
        <v>244</v>
      </c>
      <c r="C28" s="3" t="s">
        <v>249</v>
      </c>
      <c r="D28" s="3" t="s">
        <v>250</v>
      </c>
      <c r="E28" t="s">
        <v>22</v>
      </c>
      <c r="F28" t="s">
        <v>150</v>
      </c>
      <c r="G28" s="3" t="s">
        <v>251</v>
      </c>
      <c r="H28" t="s">
        <v>142</v>
      </c>
    </row>
  </sheetData>
  <autoFilter ref="A2:H28" xr:uid="{00000000-0009-0000-0000-000002000000}"/>
  <dataValidations count="2">
    <dataValidation type="list" allowBlank="1" showInputMessage="1" showErrorMessage="1" errorTitle="Giá trị không hợp lệ" error="Chọn: Chưa làm / Đang làm / Hoàn thành" sqref="H3:H28" xr:uid="{00000000-0002-0000-0200-000000000000}">
      <formula1>"Chưa làm,Đang làm,Hoàn thành"</formula1>
    </dataValidation>
    <dataValidation type="list" allowBlank="1" showInputMessage="1" showErrorMessage="1" errorTitle="Giá trị không hợp lệ" error="Chọn: Bắt buộc / Nên có / Tùy chọn" sqref="E3:E28" xr:uid="{00000000-0002-0000-0200-000001000000}">
      <formula1>"Bắt buộc,Nên có,Tùy chọn"</formula1>
    </dataValidation>
  </dataValidations>
  <pageMargins left="0" right="0" top="0" bottom="0"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pageSetUpPr fitToPage="1"/>
  </sheetPr>
  <dimension ref="A1:H20"/>
  <sheetViews>
    <sheetView workbookViewId="0">
      <pane ySplit="2" topLeftCell="A3" activePane="bottomLeft" state="frozen"/>
      <selection pane="bottomLeft" activeCell="D5" sqref="D5"/>
    </sheetView>
  </sheetViews>
  <sheetFormatPr defaultRowHeight="15"/>
  <cols>
    <col min="1" max="1" width="10" customWidth="1"/>
    <col min="2" max="2" width="20" customWidth="1"/>
    <col min="3" max="3" width="30" customWidth="1"/>
    <col min="4" max="4" width="62" customWidth="1"/>
    <col min="5" max="6" width="12" customWidth="1"/>
    <col min="7" max="7" width="48" customWidth="1"/>
    <col min="8" max="8" width="12" customWidth="1"/>
  </cols>
  <sheetData>
    <row r="1" spans="1:8" ht="18.75">
      <c r="A1" s="1" t="s">
        <v>252</v>
      </c>
    </row>
    <row r="2" spans="1:8">
      <c r="A2" s="2" t="s">
        <v>128</v>
      </c>
      <c r="B2" s="2" t="s">
        <v>129</v>
      </c>
      <c r="C2" s="2" t="s">
        <v>130</v>
      </c>
      <c r="D2" s="2" t="s">
        <v>131</v>
      </c>
      <c r="E2" s="2" t="s">
        <v>132</v>
      </c>
      <c r="F2" s="2" t="s">
        <v>133</v>
      </c>
      <c r="G2" s="2" t="s">
        <v>134</v>
      </c>
      <c r="H2" s="2" t="s">
        <v>135</v>
      </c>
    </row>
    <row r="3" spans="1:8" ht="45.75">
      <c r="A3" t="s">
        <v>253</v>
      </c>
      <c r="B3" s="3" t="s">
        <v>137</v>
      </c>
      <c r="C3" s="3" t="s">
        <v>254</v>
      </c>
      <c r="D3" s="3" t="s">
        <v>255</v>
      </c>
      <c r="E3" t="s">
        <v>20</v>
      </c>
      <c r="F3" t="s">
        <v>140</v>
      </c>
      <c r="G3" s="3" t="s">
        <v>256</v>
      </c>
      <c r="H3" t="s">
        <v>142</v>
      </c>
    </row>
    <row r="4" spans="1:8" ht="45.75">
      <c r="A4" t="s">
        <v>257</v>
      </c>
      <c r="B4" s="3" t="s">
        <v>191</v>
      </c>
      <c r="C4" s="3" t="s">
        <v>258</v>
      </c>
      <c r="D4" s="3" t="s">
        <v>259</v>
      </c>
      <c r="E4" t="s">
        <v>20</v>
      </c>
      <c r="F4" t="s">
        <v>140</v>
      </c>
      <c r="G4" s="3" t="s">
        <v>260</v>
      </c>
      <c r="H4" t="s">
        <v>142</v>
      </c>
    </row>
    <row r="5" spans="1:8" ht="45.75">
      <c r="A5" t="s">
        <v>261</v>
      </c>
      <c r="B5" s="3" t="s">
        <v>191</v>
      </c>
      <c r="C5" s="3" t="s">
        <v>262</v>
      </c>
      <c r="D5" s="3" t="s">
        <v>263</v>
      </c>
      <c r="E5" t="s">
        <v>20</v>
      </c>
      <c r="F5" t="s">
        <v>140</v>
      </c>
      <c r="G5" s="3" t="s">
        <v>264</v>
      </c>
      <c r="H5" t="s">
        <v>142</v>
      </c>
    </row>
    <row r="6" spans="1:8" ht="45.75">
      <c r="A6" t="s">
        <v>265</v>
      </c>
      <c r="B6" s="3" t="s">
        <v>191</v>
      </c>
      <c r="C6" s="3" t="s">
        <v>266</v>
      </c>
      <c r="D6" s="3" t="s">
        <v>267</v>
      </c>
      <c r="E6" t="s">
        <v>20</v>
      </c>
      <c r="F6" t="s">
        <v>215</v>
      </c>
      <c r="G6" s="3" t="s">
        <v>268</v>
      </c>
      <c r="H6" t="s">
        <v>142</v>
      </c>
    </row>
    <row r="7" spans="1:8" ht="30.75">
      <c r="A7" t="s">
        <v>269</v>
      </c>
      <c r="B7" s="3" t="s">
        <v>191</v>
      </c>
      <c r="C7" s="3" t="s">
        <v>270</v>
      </c>
      <c r="D7" s="3" t="s">
        <v>271</v>
      </c>
      <c r="E7" t="s">
        <v>21</v>
      </c>
      <c r="F7" t="s">
        <v>140</v>
      </c>
      <c r="G7" s="3" t="s">
        <v>272</v>
      </c>
      <c r="H7" t="s">
        <v>142</v>
      </c>
    </row>
    <row r="8" spans="1:8" ht="45.75">
      <c r="A8" t="s">
        <v>273</v>
      </c>
      <c r="B8" s="3" t="s">
        <v>274</v>
      </c>
      <c r="C8" s="3" t="s">
        <v>275</v>
      </c>
      <c r="D8" s="3" t="s">
        <v>276</v>
      </c>
      <c r="E8" t="s">
        <v>20</v>
      </c>
      <c r="F8" t="s">
        <v>140</v>
      </c>
      <c r="G8" s="3" t="s">
        <v>277</v>
      </c>
      <c r="H8" t="s">
        <v>142</v>
      </c>
    </row>
    <row r="9" spans="1:8" ht="30.75">
      <c r="A9" t="s">
        <v>278</v>
      </c>
      <c r="B9" s="3" t="s">
        <v>274</v>
      </c>
      <c r="C9" s="3" t="s">
        <v>279</v>
      </c>
      <c r="D9" s="3" t="s">
        <v>280</v>
      </c>
      <c r="E9" t="s">
        <v>20</v>
      </c>
      <c r="F9" t="s">
        <v>140</v>
      </c>
      <c r="G9" s="3" t="s">
        <v>281</v>
      </c>
      <c r="H9" t="s">
        <v>142</v>
      </c>
    </row>
    <row r="10" spans="1:8" ht="30.75">
      <c r="A10" t="s">
        <v>282</v>
      </c>
      <c r="B10" s="3" t="s">
        <v>274</v>
      </c>
      <c r="C10" s="3" t="s">
        <v>283</v>
      </c>
      <c r="D10" s="3" t="s">
        <v>284</v>
      </c>
      <c r="E10" t="s">
        <v>20</v>
      </c>
      <c r="F10" t="s">
        <v>150</v>
      </c>
      <c r="G10" s="3" t="s">
        <v>285</v>
      </c>
      <c r="H10" t="s">
        <v>142</v>
      </c>
    </row>
    <row r="11" spans="1:8" ht="30.75">
      <c r="A11" t="s">
        <v>286</v>
      </c>
      <c r="B11" s="3" t="s">
        <v>274</v>
      </c>
      <c r="C11" s="3" t="s">
        <v>287</v>
      </c>
      <c r="D11" s="3" t="s">
        <v>288</v>
      </c>
      <c r="E11" t="s">
        <v>20</v>
      </c>
      <c r="F11" t="s">
        <v>150</v>
      </c>
      <c r="G11" s="3" t="s">
        <v>289</v>
      </c>
      <c r="H11" t="s">
        <v>142</v>
      </c>
    </row>
    <row r="12" spans="1:8" ht="45.75">
      <c r="A12" t="s">
        <v>290</v>
      </c>
      <c r="B12" s="3" t="s">
        <v>208</v>
      </c>
      <c r="C12" s="3" t="s">
        <v>291</v>
      </c>
      <c r="D12" s="3" t="s">
        <v>292</v>
      </c>
      <c r="E12" t="s">
        <v>20</v>
      </c>
      <c r="F12" t="s">
        <v>140</v>
      </c>
      <c r="G12" s="3" t="s">
        <v>293</v>
      </c>
      <c r="H12" t="s">
        <v>142</v>
      </c>
    </row>
    <row r="13" spans="1:8" ht="30.75">
      <c r="A13" t="s">
        <v>294</v>
      </c>
      <c r="B13" s="3" t="s">
        <v>208</v>
      </c>
      <c r="C13" s="3" t="s">
        <v>295</v>
      </c>
      <c r="D13" s="3" t="s">
        <v>296</v>
      </c>
      <c r="E13" t="s">
        <v>21</v>
      </c>
      <c r="F13" t="s">
        <v>150</v>
      </c>
      <c r="G13" s="3" t="s">
        <v>297</v>
      </c>
      <c r="H13" t="s">
        <v>142</v>
      </c>
    </row>
    <row r="14" spans="1:8" ht="45.75">
      <c r="A14" t="s">
        <v>298</v>
      </c>
      <c r="B14" s="3" t="s">
        <v>299</v>
      </c>
      <c r="C14" s="3" t="s">
        <v>300</v>
      </c>
      <c r="D14" s="3" t="s">
        <v>301</v>
      </c>
      <c r="E14" t="s">
        <v>20</v>
      </c>
      <c r="F14" t="s">
        <v>140</v>
      </c>
      <c r="G14" s="3" t="s">
        <v>302</v>
      </c>
      <c r="H14" t="s">
        <v>142</v>
      </c>
    </row>
    <row r="15" spans="1:8" ht="30.75">
      <c r="A15" t="s">
        <v>303</v>
      </c>
      <c r="B15" s="3" t="s">
        <v>304</v>
      </c>
      <c r="C15" s="3" t="s">
        <v>305</v>
      </c>
      <c r="D15" s="3" t="s">
        <v>306</v>
      </c>
      <c r="E15" t="s">
        <v>21</v>
      </c>
      <c r="F15" t="s">
        <v>150</v>
      </c>
      <c r="G15" s="3" t="s">
        <v>307</v>
      </c>
      <c r="H15" t="s">
        <v>142</v>
      </c>
    </row>
    <row r="16" spans="1:8" ht="30.75">
      <c r="A16" t="s">
        <v>308</v>
      </c>
      <c r="B16" s="3" t="s">
        <v>309</v>
      </c>
      <c r="C16" s="3" t="s">
        <v>310</v>
      </c>
      <c r="D16" s="3" t="s">
        <v>311</v>
      </c>
      <c r="E16" t="s">
        <v>20</v>
      </c>
      <c r="F16" t="s">
        <v>150</v>
      </c>
      <c r="G16" s="3" t="s">
        <v>312</v>
      </c>
      <c r="H16" t="s">
        <v>142</v>
      </c>
    </row>
    <row r="17" spans="1:8" ht="30.75">
      <c r="A17" t="s">
        <v>313</v>
      </c>
      <c r="B17" s="3" t="s">
        <v>309</v>
      </c>
      <c r="C17" s="3" t="s">
        <v>314</v>
      </c>
      <c r="D17" s="3" t="s">
        <v>315</v>
      </c>
      <c r="E17" t="s">
        <v>21</v>
      </c>
      <c r="F17" t="s">
        <v>150</v>
      </c>
      <c r="G17" s="3" t="s">
        <v>316</v>
      </c>
      <c r="H17" t="s">
        <v>142</v>
      </c>
    </row>
    <row r="18" spans="1:8" ht="45.75">
      <c r="A18" t="s">
        <v>317</v>
      </c>
      <c r="B18" s="3" t="s">
        <v>318</v>
      </c>
      <c r="C18" s="3" t="s">
        <v>319</v>
      </c>
      <c r="D18" s="3" t="s">
        <v>320</v>
      </c>
      <c r="E18" t="s">
        <v>20</v>
      </c>
      <c r="F18" t="s">
        <v>215</v>
      </c>
      <c r="G18" s="3" t="s">
        <v>321</v>
      </c>
      <c r="H18" t="s">
        <v>142</v>
      </c>
    </row>
    <row r="19" spans="1:8" ht="30.75">
      <c r="A19" t="s">
        <v>322</v>
      </c>
      <c r="B19" s="3" t="s">
        <v>323</v>
      </c>
      <c r="C19" s="3" t="s">
        <v>324</v>
      </c>
      <c r="D19" s="3" t="s">
        <v>325</v>
      </c>
      <c r="E19" t="s">
        <v>20</v>
      </c>
      <c r="F19" t="s">
        <v>150</v>
      </c>
      <c r="G19" s="3" t="s">
        <v>326</v>
      </c>
      <c r="H19" t="s">
        <v>142</v>
      </c>
    </row>
    <row r="20" spans="1:8" ht="30.75">
      <c r="A20" t="s">
        <v>327</v>
      </c>
      <c r="B20" s="3" t="s">
        <v>323</v>
      </c>
      <c r="C20" s="3" t="s">
        <v>328</v>
      </c>
      <c r="D20" s="3" t="s">
        <v>329</v>
      </c>
      <c r="E20" t="s">
        <v>20</v>
      </c>
      <c r="F20" t="s">
        <v>140</v>
      </c>
      <c r="G20" s="3" t="s">
        <v>330</v>
      </c>
      <c r="H20" t="s">
        <v>142</v>
      </c>
    </row>
  </sheetData>
  <autoFilter ref="A2:H20" xr:uid="{00000000-0009-0000-0000-000003000000}"/>
  <dataValidations count="2">
    <dataValidation type="list" allowBlank="1" showInputMessage="1" showErrorMessage="1" errorTitle="Giá trị không hợp lệ" error="Chọn: Chưa làm / Đang làm / Hoàn thành" sqref="H3:H20" xr:uid="{00000000-0002-0000-0300-000000000000}">
      <formula1>"Chưa làm,Đang làm,Hoàn thành"</formula1>
    </dataValidation>
    <dataValidation type="list" allowBlank="1" showInputMessage="1" showErrorMessage="1" errorTitle="Giá trị không hợp lệ" error="Chọn: Bắt buộc / Nên có / Tùy chọn" sqref="E3:E20" xr:uid="{00000000-0002-0000-0300-000001000000}">
      <formula1>"Bắt buộc,Nên có,Tùy chọn"</formula1>
    </dataValidation>
  </dataValidations>
  <pageMargins left="0" right="0" top="0" bottom="0"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26B0A"/>
    <pageSetUpPr fitToPage="1"/>
  </sheetPr>
  <dimension ref="A1:H24"/>
  <sheetViews>
    <sheetView tabSelected="1" workbookViewId="0">
      <pane ySplit="2" topLeftCell="A10" activePane="bottomLeft" state="frozen"/>
      <selection pane="bottomLeft" activeCell="C12" sqref="C12:G19"/>
    </sheetView>
  </sheetViews>
  <sheetFormatPr defaultRowHeight="15"/>
  <cols>
    <col min="1" max="1" width="10" customWidth="1"/>
    <col min="2" max="2" width="20" customWidth="1"/>
    <col min="3" max="3" width="30" customWidth="1"/>
    <col min="4" max="4" width="62" customWidth="1"/>
    <col min="5" max="6" width="12" customWidth="1"/>
    <col min="7" max="7" width="48" customWidth="1"/>
    <col min="8" max="8" width="12" customWidth="1"/>
  </cols>
  <sheetData>
    <row r="1" spans="1:8" ht="18.75">
      <c r="A1" s="1" t="s">
        <v>331</v>
      </c>
    </row>
    <row r="2" spans="1:8">
      <c r="A2" s="2" t="s">
        <v>128</v>
      </c>
      <c r="B2" s="2" t="s">
        <v>129</v>
      </c>
      <c r="C2" s="2" t="s">
        <v>130</v>
      </c>
      <c r="D2" s="2" t="s">
        <v>131</v>
      </c>
      <c r="E2" s="2" t="s">
        <v>132</v>
      </c>
      <c r="F2" s="2" t="s">
        <v>133</v>
      </c>
      <c r="G2" s="2" t="s">
        <v>134</v>
      </c>
      <c r="H2" s="2" t="s">
        <v>135</v>
      </c>
    </row>
    <row r="3" spans="1:8" ht="30.75">
      <c r="A3" t="s">
        <v>332</v>
      </c>
      <c r="B3" s="3" t="s">
        <v>333</v>
      </c>
      <c r="C3" s="3" t="s">
        <v>334</v>
      </c>
      <c r="D3" s="3" t="s">
        <v>335</v>
      </c>
      <c r="E3" t="s">
        <v>20</v>
      </c>
      <c r="F3" t="s">
        <v>150</v>
      </c>
      <c r="G3" s="3" t="s">
        <v>336</v>
      </c>
      <c r="H3" t="s">
        <v>142</v>
      </c>
    </row>
    <row r="4" spans="1:8" ht="45.75">
      <c r="A4" t="s">
        <v>337</v>
      </c>
      <c r="B4" s="3" t="s">
        <v>333</v>
      </c>
      <c r="C4" s="3" t="s">
        <v>338</v>
      </c>
      <c r="D4" s="3" t="s">
        <v>339</v>
      </c>
      <c r="E4" t="s">
        <v>20</v>
      </c>
      <c r="F4" t="s">
        <v>140</v>
      </c>
      <c r="G4" s="3" t="s">
        <v>340</v>
      </c>
      <c r="H4" t="s">
        <v>142</v>
      </c>
    </row>
    <row r="5" spans="1:8" ht="30.75">
      <c r="A5" t="s">
        <v>341</v>
      </c>
      <c r="B5" s="3" t="s">
        <v>333</v>
      </c>
      <c r="C5" s="3" t="s">
        <v>342</v>
      </c>
      <c r="D5" s="3" t="s">
        <v>343</v>
      </c>
      <c r="E5" t="s">
        <v>22</v>
      </c>
      <c r="F5" t="s">
        <v>140</v>
      </c>
      <c r="G5" s="3" t="s">
        <v>344</v>
      </c>
      <c r="H5" t="s">
        <v>142</v>
      </c>
    </row>
    <row r="6" spans="1:8" ht="30.75">
      <c r="A6" t="s">
        <v>345</v>
      </c>
      <c r="B6" s="3" t="s">
        <v>333</v>
      </c>
      <c r="C6" s="3" t="s">
        <v>346</v>
      </c>
      <c r="D6" s="3" t="s">
        <v>347</v>
      </c>
      <c r="E6" t="s">
        <v>20</v>
      </c>
      <c r="F6" t="s">
        <v>150</v>
      </c>
      <c r="G6" s="3" t="s">
        <v>348</v>
      </c>
      <c r="H6" t="s">
        <v>142</v>
      </c>
    </row>
    <row r="7" spans="1:8" ht="30.75">
      <c r="A7" t="s">
        <v>349</v>
      </c>
      <c r="B7" s="3" t="s">
        <v>333</v>
      </c>
      <c r="C7" s="3" t="s">
        <v>350</v>
      </c>
      <c r="D7" s="3" t="s">
        <v>351</v>
      </c>
      <c r="E7" t="s">
        <v>20</v>
      </c>
      <c r="F7" t="s">
        <v>150</v>
      </c>
      <c r="G7" s="3" t="s">
        <v>352</v>
      </c>
      <c r="H7" t="s">
        <v>142</v>
      </c>
    </row>
    <row r="8" spans="1:8" ht="30.75">
      <c r="A8" t="s">
        <v>353</v>
      </c>
      <c r="B8" s="3" t="s">
        <v>333</v>
      </c>
      <c r="C8" s="3" t="s">
        <v>354</v>
      </c>
      <c r="D8" s="3" t="s">
        <v>355</v>
      </c>
      <c r="E8" t="s">
        <v>20</v>
      </c>
      <c r="F8" t="s">
        <v>140</v>
      </c>
      <c r="G8" s="3" t="s">
        <v>356</v>
      </c>
      <c r="H8" t="s">
        <v>142</v>
      </c>
    </row>
    <row r="9" spans="1:8" ht="45.75">
      <c r="A9" t="s">
        <v>357</v>
      </c>
      <c r="B9" s="3" t="s">
        <v>358</v>
      </c>
      <c r="C9" s="3" t="s">
        <v>359</v>
      </c>
      <c r="D9" s="3" t="s">
        <v>360</v>
      </c>
      <c r="E9" t="s">
        <v>20</v>
      </c>
      <c r="F9" t="s">
        <v>140</v>
      </c>
      <c r="G9" s="3" t="s">
        <v>361</v>
      </c>
      <c r="H9" t="s">
        <v>142</v>
      </c>
    </row>
    <row r="10" spans="1:8" ht="30.75">
      <c r="A10" t="s">
        <v>362</v>
      </c>
      <c r="B10" s="3" t="s">
        <v>363</v>
      </c>
      <c r="C10" s="3" t="s">
        <v>364</v>
      </c>
      <c r="D10" s="3" t="s">
        <v>365</v>
      </c>
      <c r="E10" t="s">
        <v>20</v>
      </c>
      <c r="F10" t="s">
        <v>140</v>
      </c>
      <c r="G10" s="3" t="s">
        <v>366</v>
      </c>
      <c r="H10" t="s">
        <v>142</v>
      </c>
    </row>
    <row r="11" spans="1:8" ht="45.75">
      <c r="A11" t="s">
        <v>367</v>
      </c>
      <c r="B11" s="3" t="s">
        <v>363</v>
      </c>
      <c r="C11" s="3" t="s">
        <v>368</v>
      </c>
      <c r="D11" s="3" t="s">
        <v>369</v>
      </c>
      <c r="E11" t="s">
        <v>20</v>
      </c>
      <c r="F11" t="s">
        <v>140</v>
      </c>
      <c r="G11" s="3" t="s">
        <v>370</v>
      </c>
      <c r="H11" t="s">
        <v>142</v>
      </c>
    </row>
    <row r="12" spans="1:8" ht="45.75">
      <c r="A12" t="s">
        <v>371</v>
      </c>
      <c r="B12" s="3" t="s">
        <v>372</v>
      </c>
      <c r="C12" s="3" t="s">
        <v>373</v>
      </c>
      <c r="D12" s="3" t="s">
        <v>374</v>
      </c>
      <c r="E12" t="s">
        <v>20</v>
      </c>
      <c r="F12" t="s">
        <v>140</v>
      </c>
      <c r="G12" s="3" t="s">
        <v>375</v>
      </c>
      <c r="H12" t="s">
        <v>142</v>
      </c>
    </row>
    <row r="13" spans="1:8" ht="30.75">
      <c r="A13" t="s">
        <v>376</v>
      </c>
      <c r="B13" s="3" t="s">
        <v>372</v>
      </c>
      <c r="C13" s="3" t="s">
        <v>377</v>
      </c>
      <c r="D13" s="3" t="s">
        <v>378</v>
      </c>
      <c r="E13" t="s">
        <v>20</v>
      </c>
      <c r="F13" t="s">
        <v>140</v>
      </c>
      <c r="G13" s="3" t="s">
        <v>379</v>
      </c>
      <c r="H13" t="s">
        <v>142</v>
      </c>
    </row>
    <row r="14" spans="1:8" ht="30.75">
      <c r="A14" t="s">
        <v>380</v>
      </c>
      <c r="B14" s="3" t="s">
        <v>381</v>
      </c>
      <c r="C14" s="3" t="s">
        <v>382</v>
      </c>
      <c r="D14" s="3" t="s">
        <v>383</v>
      </c>
      <c r="E14" t="s">
        <v>20</v>
      </c>
      <c r="F14" t="s">
        <v>150</v>
      </c>
      <c r="G14" s="3" t="s">
        <v>384</v>
      </c>
      <c r="H14" t="s">
        <v>142</v>
      </c>
    </row>
    <row r="15" spans="1:8" ht="60.75">
      <c r="A15" t="s">
        <v>385</v>
      </c>
      <c r="B15" s="3" t="s">
        <v>386</v>
      </c>
      <c r="C15" s="3" t="s">
        <v>387</v>
      </c>
      <c r="D15" s="3" t="s">
        <v>388</v>
      </c>
      <c r="E15" t="s">
        <v>20</v>
      </c>
      <c r="F15" t="s">
        <v>215</v>
      </c>
      <c r="G15" s="3" t="s">
        <v>389</v>
      </c>
      <c r="H15" t="s">
        <v>142</v>
      </c>
    </row>
    <row r="16" spans="1:8" ht="45.75">
      <c r="A16" t="s">
        <v>390</v>
      </c>
      <c r="B16" s="3" t="s">
        <v>391</v>
      </c>
      <c r="C16" s="3" t="s">
        <v>392</v>
      </c>
      <c r="D16" s="3" t="s">
        <v>393</v>
      </c>
      <c r="E16" t="s">
        <v>20</v>
      </c>
      <c r="F16" t="s">
        <v>215</v>
      </c>
      <c r="G16" s="3" t="s">
        <v>394</v>
      </c>
      <c r="H16" t="s">
        <v>142</v>
      </c>
    </row>
    <row r="17" spans="1:8" ht="45.75">
      <c r="A17" t="s">
        <v>395</v>
      </c>
      <c r="B17" s="3" t="s">
        <v>391</v>
      </c>
      <c r="C17" s="3" t="s">
        <v>396</v>
      </c>
      <c r="D17" s="3" t="s">
        <v>397</v>
      </c>
      <c r="E17" t="s">
        <v>20</v>
      </c>
      <c r="F17" t="s">
        <v>215</v>
      </c>
      <c r="G17" s="3" t="s">
        <v>398</v>
      </c>
      <c r="H17" t="s">
        <v>142</v>
      </c>
    </row>
    <row r="18" spans="1:8" ht="45.75">
      <c r="A18" t="s">
        <v>399</v>
      </c>
      <c r="B18" s="3" t="s">
        <v>400</v>
      </c>
      <c r="C18" s="3" t="s">
        <v>401</v>
      </c>
      <c r="D18" s="3" t="s">
        <v>402</v>
      </c>
      <c r="E18" t="s">
        <v>20</v>
      </c>
      <c r="F18" t="s">
        <v>150</v>
      </c>
      <c r="G18" s="3" t="s">
        <v>403</v>
      </c>
      <c r="H18" t="s">
        <v>142</v>
      </c>
    </row>
    <row r="19" spans="1:8" ht="30.75">
      <c r="A19" t="s">
        <v>404</v>
      </c>
      <c r="B19" s="3" t="s">
        <v>400</v>
      </c>
      <c r="C19" s="3" t="s">
        <v>405</v>
      </c>
      <c r="D19" s="3" t="s">
        <v>406</v>
      </c>
      <c r="E19" t="s">
        <v>20</v>
      </c>
      <c r="F19" t="s">
        <v>140</v>
      </c>
      <c r="G19" s="3" t="s">
        <v>407</v>
      </c>
      <c r="H19" t="s">
        <v>142</v>
      </c>
    </row>
    <row r="20" spans="1:8" ht="45.75">
      <c r="A20" t="s">
        <v>408</v>
      </c>
      <c r="B20" s="3" t="s">
        <v>400</v>
      </c>
      <c r="C20" s="3" t="s">
        <v>409</v>
      </c>
      <c r="D20" s="3" t="s">
        <v>410</v>
      </c>
      <c r="E20" t="s">
        <v>21</v>
      </c>
      <c r="F20" t="s">
        <v>215</v>
      </c>
      <c r="G20" s="3" t="s">
        <v>411</v>
      </c>
      <c r="H20" t="s">
        <v>142</v>
      </c>
    </row>
    <row r="21" spans="1:8" ht="45.75">
      <c r="A21" t="s">
        <v>412</v>
      </c>
      <c r="B21" s="3" t="s">
        <v>309</v>
      </c>
      <c r="C21" s="3" t="s">
        <v>413</v>
      </c>
      <c r="D21" s="3" t="s">
        <v>414</v>
      </c>
      <c r="E21" t="s">
        <v>20</v>
      </c>
      <c r="F21" t="s">
        <v>140</v>
      </c>
      <c r="G21" s="3" t="s">
        <v>415</v>
      </c>
      <c r="H21" t="s">
        <v>142</v>
      </c>
    </row>
    <row r="22" spans="1:8" ht="30.75">
      <c r="A22" t="s">
        <v>416</v>
      </c>
      <c r="B22" s="3" t="s">
        <v>318</v>
      </c>
      <c r="C22" s="3" t="s">
        <v>417</v>
      </c>
      <c r="D22" s="3" t="s">
        <v>418</v>
      </c>
      <c r="E22" t="s">
        <v>20</v>
      </c>
      <c r="F22" t="s">
        <v>215</v>
      </c>
      <c r="G22" s="3" t="s">
        <v>419</v>
      </c>
      <c r="H22" t="s">
        <v>142</v>
      </c>
    </row>
    <row r="23" spans="1:8" ht="30.75">
      <c r="A23" t="s">
        <v>420</v>
      </c>
      <c r="B23" s="3" t="s">
        <v>421</v>
      </c>
      <c r="C23" s="3" t="s">
        <v>422</v>
      </c>
      <c r="D23" s="3" t="s">
        <v>423</v>
      </c>
      <c r="E23" t="s">
        <v>21</v>
      </c>
      <c r="F23" t="s">
        <v>140</v>
      </c>
      <c r="G23" s="3" t="s">
        <v>424</v>
      </c>
      <c r="H23" t="s">
        <v>142</v>
      </c>
    </row>
    <row r="24" spans="1:8" ht="30.75">
      <c r="A24" t="s">
        <v>425</v>
      </c>
      <c r="B24" s="3" t="s">
        <v>426</v>
      </c>
      <c r="C24" s="3" t="s">
        <v>427</v>
      </c>
      <c r="D24" s="3" t="s">
        <v>428</v>
      </c>
      <c r="E24" t="s">
        <v>20</v>
      </c>
      <c r="F24" t="s">
        <v>140</v>
      </c>
      <c r="G24" s="3" t="s">
        <v>429</v>
      </c>
      <c r="H24" t="s">
        <v>142</v>
      </c>
    </row>
  </sheetData>
  <autoFilter ref="A2:H24" xr:uid="{00000000-0009-0000-0000-000004000000}"/>
  <dataValidations count="2">
    <dataValidation type="list" allowBlank="1" showInputMessage="1" showErrorMessage="1" errorTitle="Giá trị không hợp lệ" error="Chọn: Chưa làm / Đang làm / Hoàn thành" sqref="H3:H24" xr:uid="{00000000-0002-0000-0400-000000000000}">
      <formula1>"Chưa làm,Đang làm,Hoàn thành"</formula1>
    </dataValidation>
    <dataValidation type="list" allowBlank="1" showInputMessage="1" showErrorMessage="1" errorTitle="Giá trị không hợp lệ" error="Chọn: Bắt buộc / Nên có / Tùy chọn" sqref="E3:E24" xr:uid="{00000000-0002-0000-0400-000001000000}">
      <formula1>"Bắt buộc,Nên có,Tùy chọn"</formula1>
    </dataValidation>
  </dataValidations>
  <pageMargins left="0" right="0" top="0" bottom="0" header="0" footer="0"/>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pageSetUpPr fitToPage="1"/>
  </sheetPr>
  <dimension ref="A1:H17"/>
  <sheetViews>
    <sheetView workbookViewId="0">
      <pane ySplit="2" topLeftCell="A3" activePane="bottomLeft" state="frozen"/>
      <selection pane="bottomLeft" activeCell="F12" sqref="F12"/>
    </sheetView>
  </sheetViews>
  <sheetFormatPr defaultRowHeight="15"/>
  <cols>
    <col min="1" max="1" width="10" customWidth="1"/>
    <col min="2" max="2" width="20" customWidth="1"/>
    <col min="3" max="3" width="30" customWidth="1"/>
    <col min="4" max="4" width="62" customWidth="1"/>
    <col min="5" max="6" width="12" customWidth="1"/>
    <col min="7" max="7" width="48" customWidth="1"/>
    <col min="8" max="8" width="12" customWidth="1"/>
  </cols>
  <sheetData>
    <row r="1" spans="1:8" ht="18.75">
      <c r="A1" s="1" t="s">
        <v>430</v>
      </c>
    </row>
    <row r="2" spans="1:8">
      <c r="A2" s="2" t="s">
        <v>128</v>
      </c>
      <c r="B2" s="2" t="s">
        <v>129</v>
      </c>
      <c r="C2" s="2" t="s">
        <v>130</v>
      </c>
      <c r="D2" s="2" t="s">
        <v>131</v>
      </c>
      <c r="E2" s="2" t="s">
        <v>132</v>
      </c>
      <c r="F2" s="2" t="s">
        <v>133</v>
      </c>
      <c r="G2" s="2" t="s">
        <v>134</v>
      </c>
      <c r="H2" s="2" t="s">
        <v>135</v>
      </c>
    </row>
    <row r="3" spans="1:8" ht="60.75">
      <c r="A3" t="s">
        <v>431</v>
      </c>
      <c r="B3" s="3" t="s">
        <v>432</v>
      </c>
      <c r="C3" s="3" t="s">
        <v>433</v>
      </c>
      <c r="D3" s="3" t="s">
        <v>434</v>
      </c>
      <c r="E3" t="s">
        <v>22</v>
      </c>
      <c r="F3" t="s">
        <v>215</v>
      </c>
      <c r="G3" s="3" t="s">
        <v>435</v>
      </c>
      <c r="H3" t="s">
        <v>142</v>
      </c>
    </row>
    <row r="4" spans="1:8" ht="45.75">
      <c r="A4" t="s">
        <v>436</v>
      </c>
      <c r="B4" s="3" t="s">
        <v>432</v>
      </c>
      <c r="C4" s="3" t="s">
        <v>437</v>
      </c>
      <c r="D4" s="3" t="s">
        <v>438</v>
      </c>
      <c r="E4" t="s">
        <v>22</v>
      </c>
      <c r="F4" t="s">
        <v>215</v>
      </c>
      <c r="G4" s="3" t="s">
        <v>439</v>
      </c>
      <c r="H4" t="s">
        <v>142</v>
      </c>
    </row>
    <row r="5" spans="1:8" ht="45.75">
      <c r="A5" t="s">
        <v>440</v>
      </c>
      <c r="B5" s="3" t="s">
        <v>441</v>
      </c>
      <c r="C5" s="3" t="s">
        <v>442</v>
      </c>
      <c r="D5" s="3" t="s">
        <v>443</v>
      </c>
      <c r="E5" t="s">
        <v>22</v>
      </c>
      <c r="F5" t="s">
        <v>215</v>
      </c>
      <c r="G5" s="3" t="s">
        <v>444</v>
      </c>
      <c r="H5" t="s">
        <v>142</v>
      </c>
    </row>
    <row r="6" spans="1:8" ht="30.75">
      <c r="A6" t="s">
        <v>445</v>
      </c>
      <c r="B6" s="3" t="s">
        <v>441</v>
      </c>
      <c r="C6" s="3" t="s">
        <v>446</v>
      </c>
      <c r="D6" s="3" t="s">
        <v>447</v>
      </c>
      <c r="E6" t="s">
        <v>22</v>
      </c>
      <c r="F6" t="s">
        <v>140</v>
      </c>
      <c r="G6" s="3" t="s">
        <v>448</v>
      </c>
      <c r="H6" t="s">
        <v>142</v>
      </c>
    </row>
    <row r="7" spans="1:8" ht="45.75">
      <c r="A7" t="s">
        <v>449</v>
      </c>
      <c r="B7" s="3" t="s">
        <v>450</v>
      </c>
      <c r="C7" s="3" t="s">
        <v>451</v>
      </c>
      <c r="D7" s="3" t="s">
        <v>452</v>
      </c>
      <c r="E7" t="s">
        <v>22</v>
      </c>
      <c r="F7" t="s">
        <v>215</v>
      </c>
      <c r="G7" s="3" t="s">
        <v>453</v>
      </c>
      <c r="H7" t="s">
        <v>142</v>
      </c>
    </row>
    <row r="8" spans="1:8" ht="45.75">
      <c r="A8" t="s">
        <v>454</v>
      </c>
      <c r="B8" s="3" t="s">
        <v>450</v>
      </c>
      <c r="C8" s="3" t="s">
        <v>455</v>
      </c>
      <c r="D8" s="3" t="s">
        <v>456</v>
      </c>
      <c r="E8" t="s">
        <v>21</v>
      </c>
      <c r="F8" t="s">
        <v>215</v>
      </c>
      <c r="G8" s="3" t="s">
        <v>457</v>
      </c>
      <c r="H8" t="s">
        <v>142</v>
      </c>
    </row>
    <row r="9" spans="1:8" ht="45.75">
      <c r="A9" t="s">
        <v>458</v>
      </c>
      <c r="B9" s="3" t="s">
        <v>459</v>
      </c>
      <c r="C9" s="3" t="s">
        <v>460</v>
      </c>
      <c r="D9" s="3" t="s">
        <v>461</v>
      </c>
      <c r="E9" t="s">
        <v>20</v>
      </c>
      <c r="F9" t="s">
        <v>140</v>
      </c>
      <c r="G9" s="3" t="s">
        <v>462</v>
      </c>
      <c r="H9" t="s">
        <v>142</v>
      </c>
    </row>
    <row r="10" spans="1:8" ht="30.75">
      <c r="A10" t="s">
        <v>463</v>
      </c>
      <c r="B10" s="3" t="s">
        <v>459</v>
      </c>
      <c r="C10" s="3" t="s">
        <v>464</v>
      </c>
      <c r="D10" s="3" t="s">
        <v>465</v>
      </c>
      <c r="E10" t="s">
        <v>20</v>
      </c>
      <c r="F10" t="s">
        <v>150</v>
      </c>
      <c r="G10" s="3" t="s">
        <v>466</v>
      </c>
      <c r="H10" t="s">
        <v>142</v>
      </c>
    </row>
    <row r="11" spans="1:8" ht="30.75">
      <c r="A11" t="s">
        <v>467</v>
      </c>
      <c r="B11" s="3" t="s">
        <v>459</v>
      </c>
      <c r="C11" s="3" t="s">
        <v>468</v>
      </c>
      <c r="D11" s="3" t="s">
        <v>469</v>
      </c>
      <c r="E11" t="s">
        <v>20</v>
      </c>
      <c r="F11" t="s">
        <v>140</v>
      </c>
      <c r="G11" s="3" t="s">
        <v>470</v>
      </c>
      <c r="H11" t="s">
        <v>142</v>
      </c>
    </row>
    <row r="12" spans="1:8" ht="45.75">
      <c r="A12" t="s">
        <v>471</v>
      </c>
      <c r="B12" s="3" t="s">
        <v>472</v>
      </c>
      <c r="C12" s="3" t="s">
        <v>473</v>
      </c>
      <c r="D12" s="3" t="s">
        <v>474</v>
      </c>
      <c r="E12" t="s">
        <v>20</v>
      </c>
      <c r="F12" t="s">
        <v>140</v>
      </c>
      <c r="G12" s="3" t="s">
        <v>475</v>
      </c>
      <c r="H12" t="s">
        <v>142</v>
      </c>
    </row>
    <row r="13" spans="1:8" ht="45.75">
      <c r="A13" t="s">
        <v>476</v>
      </c>
      <c r="B13" s="3" t="s">
        <v>472</v>
      </c>
      <c r="C13" s="3" t="s">
        <v>477</v>
      </c>
      <c r="D13" s="3" t="s">
        <v>478</v>
      </c>
      <c r="E13" t="s">
        <v>21</v>
      </c>
      <c r="F13" t="s">
        <v>140</v>
      </c>
      <c r="G13" s="3" t="s">
        <v>479</v>
      </c>
      <c r="H13" t="s">
        <v>142</v>
      </c>
    </row>
    <row r="14" spans="1:8" ht="30.75">
      <c r="A14" t="s">
        <v>480</v>
      </c>
      <c r="B14" s="3" t="s">
        <v>472</v>
      </c>
      <c r="C14" s="3" t="s">
        <v>481</v>
      </c>
      <c r="D14" s="3" t="s">
        <v>482</v>
      </c>
      <c r="E14" t="s">
        <v>22</v>
      </c>
      <c r="F14" t="s">
        <v>140</v>
      </c>
      <c r="G14" s="3" t="s">
        <v>483</v>
      </c>
      <c r="H14" t="s">
        <v>142</v>
      </c>
    </row>
    <row r="15" spans="1:8" ht="30.75">
      <c r="A15" t="s">
        <v>484</v>
      </c>
      <c r="B15" s="3" t="s">
        <v>472</v>
      </c>
      <c r="C15" s="3" t="s">
        <v>485</v>
      </c>
      <c r="D15" s="3" t="s">
        <v>486</v>
      </c>
      <c r="E15" t="s">
        <v>22</v>
      </c>
      <c r="F15" t="s">
        <v>215</v>
      </c>
      <c r="G15" s="3" t="s">
        <v>487</v>
      </c>
      <c r="H15" t="s">
        <v>142</v>
      </c>
    </row>
    <row r="16" spans="1:8" ht="45.75">
      <c r="A16" t="s">
        <v>488</v>
      </c>
      <c r="B16" s="3" t="s">
        <v>489</v>
      </c>
      <c r="C16" s="3" t="s">
        <v>490</v>
      </c>
      <c r="D16" s="3" t="s">
        <v>491</v>
      </c>
      <c r="E16" t="s">
        <v>21</v>
      </c>
      <c r="F16" t="s">
        <v>215</v>
      </c>
      <c r="G16" s="3" t="s">
        <v>492</v>
      </c>
      <c r="H16" t="s">
        <v>142</v>
      </c>
    </row>
    <row r="17" spans="1:8" ht="45.75">
      <c r="A17" t="s">
        <v>493</v>
      </c>
      <c r="B17" s="3" t="s">
        <v>494</v>
      </c>
      <c r="C17" s="3" t="s">
        <v>495</v>
      </c>
      <c r="D17" s="3" t="s">
        <v>496</v>
      </c>
      <c r="E17" t="s">
        <v>20</v>
      </c>
      <c r="F17" t="s">
        <v>140</v>
      </c>
      <c r="G17" s="3" t="s">
        <v>497</v>
      </c>
      <c r="H17" t="s">
        <v>142</v>
      </c>
    </row>
  </sheetData>
  <autoFilter ref="A2:H17" xr:uid="{00000000-0009-0000-0000-000005000000}"/>
  <dataValidations count="2">
    <dataValidation type="list" allowBlank="1" showInputMessage="1" showErrorMessage="1" errorTitle="Giá trị không hợp lệ" error="Chọn: Chưa làm / Đang làm / Hoàn thành" sqref="H3:H17" xr:uid="{00000000-0002-0000-0500-000000000000}">
      <formula1>"Chưa làm,Đang làm,Hoàn thành"</formula1>
    </dataValidation>
    <dataValidation type="list" allowBlank="1" showInputMessage="1" showErrorMessage="1" errorTitle="Giá trị không hợp lệ" error="Chọn: Bắt buộc / Nên có / Tùy chọn" sqref="E3:E17" xr:uid="{00000000-0002-0000-0500-000001000000}">
      <formula1>"Bắt buộc,Nên có,Tùy chọn"</formula1>
    </dataValidation>
  </dataValidations>
  <pageMargins left="0" right="0" top="0" bottom="0" header="0" footer="0"/>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pageSetUpPr fitToPage="1"/>
  </sheetPr>
  <dimension ref="A1:H16"/>
  <sheetViews>
    <sheetView workbookViewId="0">
      <pane ySplit="2" topLeftCell="A3" activePane="bottomLeft" state="frozen"/>
      <selection pane="bottomLeft" activeCell="D8" sqref="D8"/>
    </sheetView>
  </sheetViews>
  <sheetFormatPr defaultRowHeight="15"/>
  <cols>
    <col min="1" max="1" width="10" customWidth="1"/>
    <col min="2" max="2" width="20" customWidth="1"/>
    <col min="3" max="3" width="30" customWidth="1"/>
    <col min="4" max="4" width="62" customWidth="1"/>
    <col min="5" max="6" width="12" customWidth="1"/>
    <col min="7" max="7" width="48" customWidth="1"/>
    <col min="8" max="8" width="12" customWidth="1"/>
  </cols>
  <sheetData>
    <row r="1" spans="1:8" ht="18.75">
      <c r="A1" s="1" t="s">
        <v>498</v>
      </c>
    </row>
    <row r="2" spans="1:8">
      <c r="A2" s="2" t="s">
        <v>128</v>
      </c>
      <c r="B2" s="2" t="s">
        <v>129</v>
      </c>
      <c r="C2" s="2" t="s">
        <v>130</v>
      </c>
      <c r="D2" s="2" t="s">
        <v>131</v>
      </c>
      <c r="E2" s="2" t="s">
        <v>132</v>
      </c>
      <c r="F2" s="2" t="s">
        <v>133</v>
      </c>
      <c r="G2" s="2" t="s">
        <v>134</v>
      </c>
      <c r="H2" s="2" t="s">
        <v>135</v>
      </c>
    </row>
    <row r="3" spans="1:8" ht="45.75">
      <c r="A3" t="s">
        <v>499</v>
      </c>
      <c r="B3" s="3" t="s">
        <v>500</v>
      </c>
      <c r="C3" s="3" t="s">
        <v>501</v>
      </c>
      <c r="D3" s="3" t="s">
        <v>502</v>
      </c>
      <c r="E3" t="s">
        <v>22</v>
      </c>
      <c r="F3" t="s">
        <v>215</v>
      </c>
      <c r="G3" s="3" t="s">
        <v>503</v>
      </c>
      <c r="H3" t="s">
        <v>142</v>
      </c>
    </row>
    <row r="4" spans="1:8" ht="30.75">
      <c r="A4" t="s">
        <v>504</v>
      </c>
      <c r="B4" s="3" t="s">
        <v>505</v>
      </c>
      <c r="C4" s="3" t="s">
        <v>506</v>
      </c>
      <c r="D4" s="3" t="s">
        <v>507</v>
      </c>
      <c r="E4" t="s">
        <v>22</v>
      </c>
      <c r="F4" t="s">
        <v>150</v>
      </c>
      <c r="G4" s="3" t="s">
        <v>508</v>
      </c>
      <c r="H4" t="s">
        <v>142</v>
      </c>
    </row>
    <row r="5" spans="1:8" ht="30.75">
      <c r="A5" t="s">
        <v>509</v>
      </c>
      <c r="B5" s="3" t="s">
        <v>218</v>
      </c>
      <c r="C5" s="3" t="s">
        <v>510</v>
      </c>
      <c r="D5" s="3" t="s">
        <v>511</v>
      </c>
      <c r="E5" t="s">
        <v>22</v>
      </c>
      <c r="F5" t="s">
        <v>140</v>
      </c>
      <c r="G5" s="3" t="s">
        <v>512</v>
      </c>
      <c r="H5" t="s">
        <v>142</v>
      </c>
    </row>
    <row r="6" spans="1:8" ht="30.75">
      <c r="A6" t="s">
        <v>513</v>
      </c>
      <c r="B6" s="3" t="s">
        <v>218</v>
      </c>
      <c r="C6" s="3" t="s">
        <v>514</v>
      </c>
      <c r="D6" s="3" t="s">
        <v>515</v>
      </c>
      <c r="E6" t="s">
        <v>22</v>
      </c>
      <c r="F6" t="s">
        <v>140</v>
      </c>
      <c r="G6" s="3" t="s">
        <v>516</v>
      </c>
      <c r="H6" t="s">
        <v>142</v>
      </c>
    </row>
    <row r="7" spans="1:8" ht="30.75">
      <c r="A7" t="s">
        <v>517</v>
      </c>
      <c r="B7" s="3" t="s">
        <v>518</v>
      </c>
      <c r="C7" s="3" t="s">
        <v>519</v>
      </c>
      <c r="D7" s="3" t="s">
        <v>520</v>
      </c>
      <c r="E7" t="s">
        <v>22</v>
      </c>
      <c r="F7" t="s">
        <v>215</v>
      </c>
      <c r="G7" s="3" t="s">
        <v>521</v>
      </c>
      <c r="H7" t="s">
        <v>142</v>
      </c>
    </row>
    <row r="8" spans="1:8" ht="30.75">
      <c r="A8" t="s">
        <v>522</v>
      </c>
      <c r="B8" s="3" t="s">
        <v>523</v>
      </c>
      <c r="C8" s="3" t="s">
        <v>524</v>
      </c>
      <c r="D8" s="3" t="s">
        <v>525</v>
      </c>
      <c r="E8" t="s">
        <v>22</v>
      </c>
      <c r="F8" t="s">
        <v>140</v>
      </c>
      <c r="G8" s="3" t="s">
        <v>526</v>
      </c>
      <c r="H8" t="s">
        <v>142</v>
      </c>
    </row>
    <row r="9" spans="1:8" ht="45.75">
      <c r="A9" t="s">
        <v>527</v>
      </c>
      <c r="B9" s="3" t="s">
        <v>523</v>
      </c>
      <c r="C9" s="3" t="s">
        <v>528</v>
      </c>
      <c r="D9" s="3" t="s">
        <v>529</v>
      </c>
      <c r="E9" t="s">
        <v>22</v>
      </c>
      <c r="F9" t="s">
        <v>215</v>
      </c>
      <c r="G9" s="3" t="s">
        <v>530</v>
      </c>
      <c r="H9" t="s">
        <v>142</v>
      </c>
    </row>
    <row r="10" spans="1:8" ht="30.75">
      <c r="A10" t="s">
        <v>531</v>
      </c>
      <c r="B10" s="3" t="s">
        <v>532</v>
      </c>
      <c r="C10" s="3" t="s">
        <v>533</v>
      </c>
      <c r="D10" s="3" t="s">
        <v>534</v>
      </c>
      <c r="E10" t="s">
        <v>21</v>
      </c>
      <c r="F10" t="s">
        <v>140</v>
      </c>
      <c r="G10" s="3" t="s">
        <v>535</v>
      </c>
      <c r="H10" t="s">
        <v>142</v>
      </c>
    </row>
    <row r="11" spans="1:8" ht="30.75">
      <c r="A11" t="s">
        <v>536</v>
      </c>
      <c r="B11" s="3" t="s">
        <v>537</v>
      </c>
      <c r="C11" s="3" t="s">
        <v>538</v>
      </c>
      <c r="D11" s="3" t="s">
        <v>539</v>
      </c>
      <c r="E11" t="s">
        <v>22</v>
      </c>
      <c r="F11" t="s">
        <v>150</v>
      </c>
      <c r="G11" s="3" t="s">
        <v>540</v>
      </c>
      <c r="H11" t="s">
        <v>142</v>
      </c>
    </row>
    <row r="12" spans="1:8" ht="30.75">
      <c r="A12" t="s">
        <v>541</v>
      </c>
      <c r="B12" s="3" t="s">
        <v>542</v>
      </c>
      <c r="C12" s="3" t="s">
        <v>543</v>
      </c>
      <c r="D12" s="3" t="s">
        <v>544</v>
      </c>
      <c r="E12" t="s">
        <v>22</v>
      </c>
      <c r="F12" t="s">
        <v>150</v>
      </c>
      <c r="G12" s="3" t="s">
        <v>545</v>
      </c>
      <c r="H12" t="s">
        <v>142</v>
      </c>
    </row>
    <row r="13" spans="1:8" ht="30.75">
      <c r="A13" t="s">
        <v>546</v>
      </c>
      <c r="B13" s="3" t="s">
        <v>547</v>
      </c>
      <c r="C13" s="3" t="s">
        <v>548</v>
      </c>
      <c r="D13" s="3" t="s">
        <v>549</v>
      </c>
      <c r="E13" t="s">
        <v>21</v>
      </c>
      <c r="F13" t="s">
        <v>140</v>
      </c>
      <c r="G13" s="3" t="s">
        <v>550</v>
      </c>
      <c r="H13" t="s">
        <v>142</v>
      </c>
    </row>
    <row r="14" spans="1:8" ht="30.75">
      <c r="A14" t="s">
        <v>551</v>
      </c>
      <c r="B14" s="3" t="s">
        <v>552</v>
      </c>
      <c r="C14" s="3" t="s">
        <v>553</v>
      </c>
      <c r="D14" s="3" t="s">
        <v>554</v>
      </c>
      <c r="E14" t="s">
        <v>22</v>
      </c>
      <c r="F14" t="s">
        <v>150</v>
      </c>
      <c r="G14" s="3" t="s">
        <v>555</v>
      </c>
      <c r="H14" t="s">
        <v>142</v>
      </c>
    </row>
    <row r="15" spans="1:8" ht="30.75">
      <c r="A15" t="s">
        <v>556</v>
      </c>
      <c r="B15" s="3" t="s">
        <v>489</v>
      </c>
      <c r="C15" s="3" t="s">
        <v>557</v>
      </c>
      <c r="D15" s="3" t="s">
        <v>558</v>
      </c>
      <c r="E15" t="s">
        <v>22</v>
      </c>
      <c r="F15" t="s">
        <v>140</v>
      </c>
      <c r="G15" s="3" t="s">
        <v>559</v>
      </c>
      <c r="H15" t="s">
        <v>142</v>
      </c>
    </row>
    <row r="16" spans="1:8" ht="30.75">
      <c r="A16" t="s">
        <v>560</v>
      </c>
      <c r="B16" s="3" t="s">
        <v>532</v>
      </c>
      <c r="C16" s="3" t="s">
        <v>561</v>
      </c>
      <c r="D16" s="3" t="s">
        <v>562</v>
      </c>
      <c r="E16" t="s">
        <v>22</v>
      </c>
      <c r="F16" t="s">
        <v>215</v>
      </c>
      <c r="G16" s="3" t="s">
        <v>563</v>
      </c>
      <c r="H16" t="s">
        <v>142</v>
      </c>
    </row>
  </sheetData>
  <autoFilter ref="A2:H16" xr:uid="{00000000-0009-0000-0000-000006000000}"/>
  <dataValidations count="2">
    <dataValidation type="list" allowBlank="1" showInputMessage="1" showErrorMessage="1" errorTitle="Giá trị không hợp lệ" error="Chọn: Chưa làm / Đang làm / Hoàn thành" sqref="H3:H16" xr:uid="{00000000-0002-0000-0600-000000000000}">
      <formula1>"Chưa làm,Đang làm,Hoàn thành"</formula1>
    </dataValidation>
    <dataValidation type="list" allowBlank="1" showInputMessage="1" showErrorMessage="1" errorTitle="Giá trị không hợp lệ" error="Chọn: Bắt buộc / Nên có / Tùy chọn" sqref="E3:E16" xr:uid="{00000000-0002-0000-0600-000001000000}">
      <formula1>"Bắt buộc,Nên có,Tùy chọn"</formula1>
    </dataValidation>
  </dataValidations>
  <pageMargins left="0" right="0" top="0" bottom="0" header="0" footer="0"/>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546A"/>
    <pageSetUpPr fitToPage="1"/>
  </sheetPr>
  <dimension ref="A1:H18"/>
  <sheetViews>
    <sheetView workbookViewId="0">
      <pane ySplit="2" topLeftCell="A3" activePane="bottomLeft" state="frozen"/>
      <selection pane="bottomLeft" activeCell="G6" sqref="G6"/>
    </sheetView>
  </sheetViews>
  <sheetFormatPr defaultRowHeight="15"/>
  <cols>
    <col min="1" max="1" width="10" customWidth="1"/>
    <col min="2" max="2" width="20" customWidth="1"/>
    <col min="3" max="3" width="30" customWidth="1"/>
    <col min="4" max="4" width="62" customWidth="1"/>
    <col min="5" max="6" width="12" customWidth="1"/>
    <col min="7" max="7" width="48" customWidth="1"/>
    <col min="8" max="8" width="12" customWidth="1"/>
  </cols>
  <sheetData>
    <row r="1" spans="1:8" ht="18.75">
      <c r="A1" s="1" t="s">
        <v>564</v>
      </c>
    </row>
    <row r="2" spans="1:8">
      <c r="A2" s="2" t="s">
        <v>128</v>
      </c>
      <c r="B2" s="2" t="s">
        <v>129</v>
      </c>
      <c r="C2" s="2" t="s">
        <v>130</v>
      </c>
      <c r="D2" s="2" t="s">
        <v>131</v>
      </c>
      <c r="E2" s="2" t="s">
        <v>132</v>
      </c>
      <c r="F2" s="2" t="s">
        <v>133</v>
      </c>
      <c r="G2" s="2" t="s">
        <v>134</v>
      </c>
      <c r="H2" s="2" t="s">
        <v>135</v>
      </c>
    </row>
    <row r="3" spans="1:8" ht="30.75">
      <c r="A3" t="s">
        <v>565</v>
      </c>
      <c r="B3" s="3" t="s">
        <v>566</v>
      </c>
      <c r="C3" s="3" t="s">
        <v>567</v>
      </c>
      <c r="D3" s="3" t="s">
        <v>568</v>
      </c>
      <c r="E3" t="s">
        <v>20</v>
      </c>
      <c r="F3" t="s">
        <v>140</v>
      </c>
      <c r="G3" s="3" t="s">
        <v>569</v>
      </c>
      <c r="H3" t="s">
        <v>142</v>
      </c>
    </row>
    <row r="4" spans="1:8" ht="45.75">
      <c r="A4" t="s">
        <v>570</v>
      </c>
      <c r="B4" s="3" t="s">
        <v>566</v>
      </c>
      <c r="C4" s="3" t="s">
        <v>571</v>
      </c>
      <c r="D4" s="3" t="s">
        <v>572</v>
      </c>
      <c r="E4" t="s">
        <v>20</v>
      </c>
      <c r="F4" t="s">
        <v>140</v>
      </c>
      <c r="G4" s="3" t="s">
        <v>573</v>
      </c>
      <c r="H4" t="s">
        <v>142</v>
      </c>
    </row>
    <row r="5" spans="1:8" ht="45.75">
      <c r="A5" t="s">
        <v>574</v>
      </c>
      <c r="B5" s="3" t="s">
        <v>566</v>
      </c>
      <c r="C5" s="3" t="s">
        <v>575</v>
      </c>
      <c r="D5" s="3" t="s">
        <v>576</v>
      </c>
      <c r="E5" t="s">
        <v>20</v>
      </c>
      <c r="F5" t="s">
        <v>140</v>
      </c>
      <c r="G5" s="3" t="s">
        <v>577</v>
      </c>
      <c r="H5" t="s">
        <v>142</v>
      </c>
    </row>
    <row r="6" spans="1:8" ht="30.75">
      <c r="A6" t="s">
        <v>578</v>
      </c>
      <c r="B6" s="3" t="s">
        <v>566</v>
      </c>
      <c r="C6" s="3" t="s">
        <v>579</v>
      </c>
      <c r="D6" s="3" t="s">
        <v>580</v>
      </c>
      <c r="E6" t="s">
        <v>20</v>
      </c>
      <c r="F6" t="s">
        <v>150</v>
      </c>
      <c r="G6" s="3" t="s">
        <v>581</v>
      </c>
      <c r="H6" t="s">
        <v>142</v>
      </c>
    </row>
    <row r="7" spans="1:8" ht="45.75">
      <c r="A7" t="s">
        <v>582</v>
      </c>
      <c r="B7" s="3" t="s">
        <v>583</v>
      </c>
      <c r="C7" s="3" t="s">
        <v>584</v>
      </c>
      <c r="D7" s="3" t="s">
        <v>585</v>
      </c>
      <c r="E7" t="s">
        <v>20</v>
      </c>
      <c r="F7" t="s">
        <v>140</v>
      </c>
      <c r="G7" s="3" t="s">
        <v>586</v>
      </c>
      <c r="H7" t="s">
        <v>142</v>
      </c>
    </row>
    <row r="8" spans="1:8" ht="30.75">
      <c r="A8" t="s">
        <v>587</v>
      </c>
      <c r="B8" s="3" t="s">
        <v>583</v>
      </c>
      <c r="C8" s="3" t="s">
        <v>588</v>
      </c>
      <c r="D8" s="3" t="s">
        <v>589</v>
      </c>
      <c r="E8" t="s">
        <v>21</v>
      </c>
      <c r="F8" t="s">
        <v>140</v>
      </c>
      <c r="G8" s="3" t="s">
        <v>590</v>
      </c>
      <c r="H8" t="s">
        <v>142</v>
      </c>
    </row>
    <row r="9" spans="1:8" ht="30.75">
      <c r="A9" t="s">
        <v>591</v>
      </c>
      <c r="B9" s="3" t="s">
        <v>583</v>
      </c>
      <c r="C9" s="3" t="s">
        <v>592</v>
      </c>
      <c r="D9" s="3" t="s">
        <v>593</v>
      </c>
      <c r="E9" t="s">
        <v>20</v>
      </c>
      <c r="F9" t="s">
        <v>140</v>
      </c>
      <c r="G9" s="3" t="s">
        <v>594</v>
      </c>
      <c r="H9" t="s">
        <v>142</v>
      </c>
    </row>
    <row r="10" spans="1:8" ht="30.75">
      <c r="A10" t="s">
        <v>595</v>
      </c>
      <c r="B10" s="3" t="s">
        <v>596</v>
      </c>
      <c r="C10" s="3" t="s">
        <v>597</v>
      </c>
      <c r="D10" s="3" t="s">
        <v>598</v>
      </c>
      <c r="E10" t="s">
        <v>20</v>
      </c>
      <c r="F10" t="s">
        <v>150</v>
      </c>
      <c r="G10" s="3" t="s">
        <v>599</v>
      </c>
      <c r="H10" t="s">
        <v>142</v>
      </c>
    </row>
    <row r="11" spans="1:8" ht="45.75">
      <c r="A11" t="s">
        <v>600</v>
      </c>
      <c r="B11" s="3" t="s">
        <v>596</v>
      </c>
      <c r="C11" s="3" t="s">
        <v>601</v>
      </c>
      <c r="D11" s="3" t="s">
        <v>602</v>
      </c>
      <c r="E11" t="s">
        <v>20</v>
      </c>
      <c r="F11" t="s">
        <v>140</v>
      </c>
      <c r="G11" s="3" t="s">
        <v>603</v>
      </c>
      <c r="H11" t="s">
        <v>142</v>
      </c>
    </row>
    <row r="12" spans="1:8" ht="30.75">
      <c r="A12" t="s">
        <v>604</v>
      </c>
      <c r="B12" s="3" t="s">
        <v>596</v>
      </c>
      <c r="C12" s="3" t="s">
        <v>605</v>
      </c>
      <c r="D12" s="3" t="s">
        <v>606</v>
      </c>
      <c r="E12" t="s">
        <v>20</v>
      </c>
      <c r="F12" t="s">
        <v>140</v>
      </c>
      <c r="G12" s="3" t="s">
        <v>607</v>
      </c>
      <c r="H12" t="s">
        <v>142</v>
      </c>
    </row>
    <row r="13" spans="1:8" ht="45.75">
      <c r="A13" t="s">
        <v>608</v>
      </c>
      <c r="B13" s="3" t="s">
        <v>609</v>
      </c>
      <c r="C13" s="3" t="s">
        <v>610</v>
      </c>
      <c r="D13" s="3" t="s">
        <v>611</v>
      </c>
      <c r="E13" t="s">
        <v>20</v>
      </c>
      <c r="F13" t="s">
        <v>140</v>
      </c>
      <c r="G13" s="3" t="s">
        <v>612</v>
      </c>
      <c r="H13" t="s">
        <v>142</v>
      </c>
    </row>
    <row r="14" spans="1:8" ht="30.75">
      <c r="A14" t="s">
        <v>613</v>
      </c>
      <c r="B14" s="3" t="s">
        <v>609</v>
      </c>
      <c r="C14" s="3" t="s">
        <v>117</v>
      </c>
      <c r="D14" s="3" t="s">
        <v>614</v>
      </c>
      <c r="E14" t="s">
        <v>20</v>
      </c>
      <c r="F14" t="s">
        <v>140</v>
      </c>
      <c r="G14" s="3" t="s">
        <v>615</v>
      </c>
      <c r="H14" t="s">
        <v>142</v>
      </c>
    </row>
    <row r="15" spans="1:8" ht="30.75">
      <c r="A15" t="s">
        <v>616</v>
      </c>
      <c r="B15" s="3" t="s">
        <v>609</v>
      </c>
      <c r="C15" s="3" t="s">
        <v>120</v>
      </c>
      <c r="D15" s="3" t="s">
        <v>617</v>
      </c>
      <c r="E15" t="s">
        <v>21</v>
      </c>
      <c r="F15" t="s">
        <v>140</v>
      </c>
      <c r="G15" s="3" t="s">
        <v>618</v>
      </c>
      <c r="H15" t="s">
        <v>142</v>
      </c>
    </row>
    <row r="16" spans="1:8" ht="45.75">
      <c r="A16" t="s">
        <v>619</v>
      </c>
      <c r="B16" s="3" t="s">
        <v>620</v>
      </c>
      <c r="C16" s="3" t="s">
        <v>621</v>
      </c>
      <c r="D16" s="3" t="s">
        <v>622</v>
      </c>
      <c r="E16" t="s">
        <v>21</v>
      </c>
      <c r="F16" t="s">
        <v>215</v>
      </c>
      <c r="G16" s="3" t="s">
        <v>623</v>
      </c>
      <c r="H16" t="s">
        <v>142</v>
      </c>
    </row>
    <row r="17" spans="1:8" ht="30.75">
      <c r="A17" t="s">
        <v>624</v>
      </c>
      <c r="B17" s="3" t="s">
        <v>500</v>
      </c>
      <c r="C17" s="3" t="s">
        <v>625</v>
      </c>
      <c r="D17" s="3" t="s">
        <v>626</v>
      </c>
      <c r="E17" t="s">
        <v>21</v>
      </c>
      <c r="F17" t="s">
        <v>150</v>
      </c>
      <c r="G17" s="3" t="s">
        <v>627</v>
      </c>
      <c r="H17" t="s">
        <v>142</v>
      </c>
    </row>
    <row r="18" spans="1:8" ht="30.75">
      <c r="A18" t="s">
        <v>628</v>
      </c>
      <c r="B18" s="3" t="s">
        <v>500</v>
      </c>
      <c r="C18" s="3" t="s">
        <v>629</v>
      </c>
      <c r="D18" s="3" t="s">
        <v>630</v>
      </c>
      <c r="E18" t="s">
        <v>22</v>
      </c>
      <c r="F18" t="s">
        <v>150</v>
      </c>
      <c r="G18" s="3" t="s">
        <v>631</v>
      </c>
      <c r="H18" t="s">
        <v>142</v>
      </c>
    </row>
  </sheetData>
  <autoFilter ref="A2:H18" xr:uid="{00000000-0009-0000-0000-000007000000}"/>
  <dataValidations count="2">
    <dataValidation type="list" allowBlank="1" showInputMessage="1" showErrorMessage="1" errorTitle="Giá trị không hợp lệ" error="Chọn: Chưa làm / Đang làm / Hoàn thành" sqref="H3:H18" xr:uid="{00000000-0002-0000-0700-000000000000}">
      <formula1>"Chưa làm,Đang làm,Hoàn thành"</formula1>
    </dataValidation>
    <dataValidation type="list" allowBlank="1" showInputMessage="1" showErrorMessage="1" errorTitle="Giá trị không hợp lệ" error="Chọn: Bắt buộc / Nên có / Tùy chọn" sqref="E3:E18" xr:uid="{00000000-0002-0000-0700-000001000000}">
      <formula1>"Bắt buộc,Nên có,Tùy chọn"</formula1>
    </dataValidation>
  </dataValidations>
  <pageMargins left="0" right="0" top="0" bottom="0"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8860B"/>
    <pageSetUpPr fitToPage="1"/>
  </sheetPr>
  <dimension ref="A1:D21"/>
  <sheetViews>
    <sheetView workbookViewId="0">
      <pane ySplit="2" topLeftCell="A3" activePane="bottomLeft" state="frozen"/>
      <selection pane="bottomLeft" activeCell="B23" sqref="B23"/>
    </sheetView>
  </sheetViews>
  <sheetFormatPr defaultRowHeight="15"/>
  <cols>
    <col min="1" max="1" width="18" customWidth="1"/>
    <col min="2" max="2" width="52" customWidth="1"/>
    <col min="3" max="3" width="13" customWidth="1"/>
    <col min="4" max="4" width="24" customWidth="1"/>
  </cols>
  <sheetData>
    <row r="1" spans="1:4" ht="18.75">
      <c r="A1" s="1" t="s">
        <v>632</v>
      </c>
    </row>
    <row r="2" spans="1:4">
      <c r="A2" s="2" t="s">
        <v>633</v>
      </c>
      <c r="B2" s="2" t="s">
        <v>634</v>
      </c>
      <c r="C2" s="2" t="s">
        <v>635</v>
      </c>
      <c r="D2" s="2" t="s">
        <v>636</v>
      </c>
    </row>
    <row r="3" spans="1:4">
      <c r="A3" t="s">
        <v>637</v>
      </c>
      <c r="B3" s="3" t="s">
        <v>638</v>
      </c>
      <c r="C3" s="4">
        <v>8</v>
      </c>
      <c r="D3" s="3" t="s">
        <v>639</v>
      </c>
    </row>
    <row r="4" spans="1:4">
      <c r="A4" t="s">
        <v>637</v>
      </c>
      <c r="B4" s="3" t="s">
        <v>640</v>
      </c>
      <c r="C4" s="4">
        <v>6</v>
      </c>
      <c r="D4" s="3" t="s">
        <v>641</v>
      </c>
    </row>
    <row r="5" spans="1:4">
      <c r="A5" t="s">
        <v>637</v>
      </c>
      <c r="B5" s="3" t="s">
        <v>642</v>
      </c>
      <c r="C5" s="4">
        <v>8</v>
      </c>
      <c r="D5" s="3" t="s">
        <v>643</v>
      </c>
    </row>
    <row r="6" spans="1:4">
      <c r="A6" t="s">
        <v>637</v>
      </c>
      <c r="B6" s="3" t="s">
        <v>644</v>
      </c>
      <c r="C6" s="4">
        <v>6</v>
      </c>
      <c r="D6" s="3" t="s">
        <v>645</v>
      </c>
    </row>
    <row r="7" spans="1:4">
      <c r="A7" t="s">
        <v>637</v>
      </c>
      <c r="B7" s="3" t="s">
        <v>646</v>
      </c>
      <c r="C7" s="4">
        <v>8</v>
      </c>
      <c r="D7" s="3" t="s">
        <v>647</v>
      </c>
    </row>
    <row r="8" spans="1:4">
      <c r="A8" t="s">
        <v>637</v>
      </c>
      <c r="B8" s="3" t="s">
        <v>648</v>
      </c>
      <c r="C8" s="4">
        <v>4</v>
      </c>
      <c r="D8" s="3" t="s">
        <v>649</v>
      </c>
    </row>
    <row r="9" spans="1:4" ht="30.75">
      <c r="A9" t="s">
        <v>650</v>
      </c>
      <c r="B9" s="3" t="s">
        <v>651</v>
      </c>
      <c r="C9" s="4">
        <v>6</v>
      </c>
      <c r="D9" s="3" t="s">
        <v>652</v>
      </c>
    </row>
    <row r="10" spans="1:4">
      <c r="A10" t="s">
        <v>650</v>
      </c>
      <c r="B10" s="3" t="s">
        <v>653</v>
      </c>
      <c r="C10" s="4">
        <v>5</v>
      </c>
      <c r="D10" s="3" t="s">
        <v>654</v>
      </c>
    </row>
    <row r="11" spans="1:4">
      <c r="A11" t="s">
        <v>650</v>
      </c>
      <c r="B11" s="3" t="s">
        <v>655</v>
      </c>
      <c r="C11" s="4">
        <v>5</v>
      </c>
      <c r="D11" s="3" t="s">
        <v>656</v>
      </c>
    </row>
    <row r="12" spans="1:4">
      <c r="A12" t="s">
        <v>650</v>
      </c>
      <c r="B12" s="3" t="s">
        <v>657</v>
      </c>
      <c r="C12" s="4">
        <v>4</v>
      </c>
      <c r="D12" s="3" t="s">
        <v>658</v>
      </c>
    </row>
    <row r="13" spans="1:4">
      <c r="A13" t="s">
        <v>659</v>
      </c>
      <c r="B13" s="3" t="s">
        <v>660</v>
      </c>
      <c r="C13" s="4">
        <v>7</v>
      </c>
      <c r="D13" s="3" t="s">
        <v>661</v>
      </c>
    </row>
    <row r="14" spans="1:4">
      <c r="A14" t="s">
        <v>659</v>
      </c>
      <c r="B14" s="3" t="s">
        <v>662</v>
      </c>
      <c r="C14" s="4">
        <v>6</v>
      </c>
      <c r="D14" s="3" t="s">
        <v>449</v>
      </c>
    </row>
    <row r="15" spans="1:4">
      <c r="A15" t="s">
        <v>659</v>
      </c>
      <c r="B15" s="3" t="s">
        <v>663</v>
      </c>
      <c r="C15" s="4">
        <v>6</v>
      </c>
      <c r="D15" s="3" t="s">
        <v>664</v>
      </c>
    </row>
    <row r="16" spans="1:4">
      <c r="A16" t="s">
        <v>659</v>
      </c>
      <c r="B16" s="3" t="s">
        <v>665</v>
      </c>
      <c r="C16" s="4">
        <v>6</v>
      </c>
      <c r="D16" s="3" t="s">
        <v>666</v>
      </c>
    </row>
    <row r="17" spans="1:4">
      <c r="A17" t="s">
        <v>667</v>
      </c>
      <c r="B17" s="3" t="s">
        <v>668</v>
      </c>
      <c r="C17" s="4">
        <v>5</v>
      </c>
      <c r="D17" s="3" t="s">
        <v>669</v>
      </c>
    </row>
    <row r="18" spans="1:4">
      <c r="A18" t="s">
        <v>667</v>
      </c>
      <c r="B18" s="3" t="s">
        <v>670</v>
      </c>
      <c r="C18" s="4">
        <v>3</v>
      </c>
      <c r="D18" s="3" t="s">
        <v>436</v>
      </c>
    </row>
    <row r="19" spans="1:4">
      <c r="A19" t="s">
        <v>667</v>
      </c>
      <c r="B19" s="3" t="s">
        <v>671</v>
      </c>
      <c r="C19" s="4">
        <v>4</v>
      </c>
      <c r="D19" s="3" t="s">
        <v>672</v>
      </c>
    </row>
    <row r="20" spans="1:4">
      <c r="A20" t="s">
        <v>667</v>
      </c>
      <c r="B20" s="3" t="s">
        <v>673</v>
      </c>
      <c r="C20" s="4">
        <v>3</v>
      </c>
      <c r="D20" s="3" t="s">
        <v>674</v>
      </c>
    </row>
    <row r="21" spans="1:4">
      <c r="A21" s="5" t="s">
        <v>28</v>
      </c>
      <c r="C21" s="6">
        <f>SUM(C3:C20)</f>
        <v>100</v>
      </c>
    </row>
  </sheetData>
  <pageMargins left="0" right="0" top="0" bottom="0"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OfficeCLI</dc:creator>
  <cp:keywords/>
  <dc:description/>
  <cp:lastModifiedBy/>
  <cp:revision/>
  <dcterms:created xsi:type="dcterms:W3CDTF">2026-07-15T04:40:06Z</dcterms:created>
  <dcterms:modified xsi:type="dcterms:W3CDTF">2026-07-20T08:35:38Z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1.0.136</vt:lpwstr>
  </property>
  <property fmtid="{D5CDD505-2E9C-101B-9397-08002B2CF9AE}" pid="3" name="OfficeCLI.LastModified">
    <vt:lpwstr>2026-07-15T04:42:06Z</vt:lpwstr>
  </property>
</Properties>
</file>